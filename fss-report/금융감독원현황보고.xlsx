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서초점기장팀1\Desktop\"/>
    </mc:Choice>
  </mc:AlternateContent>
  <xr:revisionPtr revIDLastSave="0" documentId="13_ncr:1_{03DAB3C1-379B-4CE4-85FE-9AEB3A9D5E76}" xr6:coauthVersionLast="47" xr6:coauthVersionMax="47" xr10:uidLastSave="{00000000-0000-0000-0000-000000000000}"/>
  <bookViews>
    <workbookView xWindow="0" yWindow="0" windowWidth="25800" windowHeight="21150" tabRatio="785" xr2:uid="{00000000-000D-0000-FFFF-FFFF00000000}"/>
  </bookViews>
  <sheets>
    <sheet name="GA018(증권거래)" sheetId="6" r:id="rId1"/>
    <sheet name="GA025(손익)" sheetId="2" r:id="rId2"/>
    <sheet name="GA023(재무)" sheetId="1" r:id="rId3"/>
    <sheet name="GA027(각주)" sheetId="5" r:id="rId4"/>
    <sheet name="GA032(건전성)" sheetId="4" r:id="rId5"/>
    <sheet name="GA262(범주)" sheetId="9" r:id="rId6"/>
    <sheet name="GA040(유동성비율)" sheetId="7" r:id="rId7"/>
    <sheet name="GA234(자금조달)" sheetId="8" r:id="rId8"/>
  </sheets>
  <definedNames>
    <definedName name="_xlnm._FilterDatabase" localSheetId="2" hidden="1">'GA023(재무)'!$A$11:$C$471</definedName>
    <definedName name="_xlnm._FilterDatabase" localSheetId="1" hidden="1">'GA025(손익)'!$A$11:$D$460</definedName>
    <definedName name="_xlnm._FilterDatabase" localSheetId="7" hidden="1">'GA234(자금조달)'!$A$11:$F$89</definedName>
    <definedName name="_xlnm._FilterDatabase" localSheetId="5" hidden="1">'GA262(범주)'!$B$249:$B$250</definedName>
    <definedName name="_xlnm.Print_Area" localSheetId="2">'GA023(재무)'!$A$1:$B$471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8" l="1"/>
  <c r="E13" i="8"/>
  <c r="D51" i="8"/>
  <c r="J218" i="9"/>
  <c r="J212" i="9"/>
  <c r="J213" i="9"/>
  <c r="F70" i="6" l="1"/>
  <c r="E70" i="6"/>
  <c r="G70" i="6"/>
  <c r="H70" i="6"/>
  <c r="D70" i="6"/>
  <c r="F69" i="6"/>
  <c r="F66" i="6"/>
  <c r="F67" i="6"/>
  <c r="F65" i="6"/>
  <c r="F63" i="6"/>
  <c r="E64" i="6"/>
  <c r="F64" i="6"/>
  <c r="G64" i="6"/>
  <c r="H64" i="6"/>
  <c r="D64" i="6"/>
  <c r="E68" i="6"/>
  <c r="G68" i="6"/>
  <c r="H68" i="6"/>
  <c r="D68" i="6"/>
  <c r="F62" i="6"/>
  <c r="F61" i="6"/>
  <c r="F60" i="6"/>
  <c r="F59" i="6"/>
  <c r="E59" i="6"/>
  <c r="G59" i="6"/>
  <c r="H59" i="6"/>
  <c r="D59" i="6"/>
  <c r="F54" i="6"/>
  <c r="F55" i="6"/>
  <c r="F56" i="6"/>
  <c r="F57" i="6"/>
  <c r="F58" i="6"/>
  <c r="F53" i="6"/>
  <c r="F51" i="6"/>
  <c r="E50" i="6"/>
  <c r="F50" i="6"/>
  <c r="G50" i="6"/>
  <c r="H50" i="6"/>
  <c r="D50" i="6"/>
  <c r="F49" i="6"/>
  <c r="F48" i="6"/>
  <c r="E47" i="6"/>
  <c r="F47" i="6"/>
  <c r="G47" i="6"/>
  <c r="H47" i="6"/>
  <c r="D47" i="6"/>
  <c r="E27" i="6"/>
  <c r="F27" i="6"/>
  <c r="G27" i="6"/>
  <c r="H27" i="6"/>
  <c r="D27" i="6"/>
  <c r="F45" i="6"/>
  <c r="F46" i="6"/>
  <c r="F44" i="6"/>
  <c r="F38" i="6"/>
  <c r="F39" i="6"/>
  <c r="F40" i="6"/>
  <c r="F41" i="6"/>
  <c r="F42" i="6"/>
  <c r="F37" i="6"/>
  <c r="F43" i="6" s="1"/>
  <c r="E43" i="6"/>
  <c r="G43" i="6"/>
  <c r="H43" i="6"/>
  <c r="D43" i="6"/>
  <c r="F33" i="6"/>
  <c r="F36" i="6" s="1"/>
  <c r="F34" i="6"/>
  <c r="F35" i="6"/>
  <c r="F32" i="6"/>
  <c r="E36" i="6"/>
  <c r="G36" i="6"/>
  <c r="H36" i="6"/>
  <c r="D36" i="6"/>
  <c r="F29" i="6"/>
  <c r="F30" i="6"/>
  <c r="F28" i="6"/>
  <c r="E31" i="6"/>
  <c r="G31" i="6"/>
  <c r="H31" i="6"/>
  <c r="D31" i="6"/>
  <c r="H26" i="6"/>
  <c r="G26" i="6"/>
  <c r="F26" i="6"/>
  <c r="E26" i="6"/>
  <c r="D26" i="6"/>
  <c r="E21" i="6"/>
  <c r="F21" i="6"/>
  <c r="G21" i="6"/>
  <c r="D21" i="6"/>
  <c r="F20" i="6"/>
  <c r="F19" i="6"/>
  <c r="F18" i="6"/>
  <c r="F17" i="6"/>
  <c r="F12" i="6"/>
  <c r="F13" i="6"/>
  <c r="F14" i="6"/>
  <c r="F15" i="6"/>
  <c r="D88" i="8"/>
  <c r="C15" i="7"/>
  <c r="F68" i="6" l="1"/>
  <c r="F31" i="6"/>
  <c r="H249" i="9"/>
  <c r="J249" i="9" s="1"/>
  <c r="J256" i="9"/>
  <c r="J257" i="9"/>
  <c r="J253" i="9"/>
  <c r="J252" i="9"/>
  <c r="J251" i="9"/>
  <c r="J178" i="9"/>
  <c r="H179" i="9"/>
  <c r="J179" i="9" s="1"/>
  <c r="B370" i="2"/>
  <c r="B418" i="1" l="1"/>
  <c r="B389" i="1"/>
  <c r="B96" i="1"/>
  <c r="B67" i="1"/>
  <c r="B62" i="1"/>
  <c r="B79" i="1"/>
  <c r="B73" i="1" s="1"/>
  <c r="F52" i="6"/>
  <c r="B56" i="1" l="1"/>
  <c r="B172" i="2"/>
  <c r="D49" i="8" l="1"/>
  <c r="B245" i="2"/>
  <c r="B219" i="2"/>
  <c r="B218" i="2" s="1"/>
  <c r="B451" i="2" l="1"/>
  <c r="D53" i="8"/>
  <c r="D13" i="8"/>
  <c r="B14" i="1" l="1"/>
  <c r="H26" i="9" l="1"/>
  <c r="C43" i="9"/>
  <c r="H250" i="9" l="1"/>
  <c r="J250" i="9" s="1"/>
  <c r="J254" i="9"/>
  <c r="H247" i="9"/>
  <c r="J247" i="9" s="1"/>
  <c r="H248" i="9"/>
  <c r="J248" i="9" s="1"/>
  <c r="B101" i="1" l="1"/>
  <c r="B95" i="1" s="1"/>
  <c r="B360" i="2" l="1"/>
  <c r="H235" i="9"/>
  <c r="E49" i="9" l="1"/>
  <c r="B450" i="2"/>
  <c r="B86" i="2"/>
  <c r="J49" i="9" l="1"/>
  <c r="D15" i="7"/>
  <c r="B400" i="2"/>
  <c r="E13" i="7"/>
  <c r="E15" i="7" l="1"/>
  <c r="B196" i="1" l="1"/>
  <c r="B185" i="1" l="1"/>
  <c r="D84" i="8" s="1"/>
  <c r="H125" i="9"/>
  <c r="B234" i="1"/>
  <c r="B233" i="1" s="1"/>
  <c r="B230" i="2"/>
  <c r="B332" i="2"/>
  <c r="B79" i="2"/>
  <c r="B71" i="2"/>
  <c r="B139" i="2"/>
  <c r="B138" i="2" s="1"/>
  <c r="B228" i="1"/>
  <c r="B223" i="1"/>
  <c r="B218" i="1"/>
  <c r="D52" i="8" l="1"/>
  <c r="B70" i="2"/>
  <c r="B217" i="1"/>
  <c r="H147" i="9"/>
  <c r="H146" i="9" s="1"/>
  <c r="B462" i="1"/>
  <c r="B449" i="1"/>
  <c r="B442" i="1" s="1"/>
  <c r="E48" i="9"/>
  <c r="B90" i="1"/>
  <c r="B44" i="1"/>
  <c r="B39" i="1"/>
  <c r="B33" i="1"/>
  <c r="B29" i="1"/>
  <c r="B26" i="1"/>
  <c r="B25" i="1" l="1"/>
  <c r="B305" i="1" l="1"/>
  <c r="B254" i="1"/>
  <c r="B13" i="1"/>
  <c r="B137" i="1"/>
  <c r="B113" i="1"/>
  <c r="B260" i="1"/>
  <c r="B284" i="1"/>
  <c r="B55" i="1" l="1"/>
  <c r="H186" i="9" l="1"/>
  <c r="H181" i="9" s="1"/>
  <c r="H234" i="9"/>
  <c r="H236" i="9"/>
  <c r="H239" i="9"/>
  <c r="H246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8" i="9"/>
  <c r="J20" i="9"/>
  <c r="J21" i="9"/>
  <c r="J22" i="9"/>
  <c r="J23" i="9"/>
  <c r="J25" i="9"/>
  <c r="J26" i="9"/>
  <c r="J29" i="9"/>
  <c r="J30" i="9"/>
  <c r="J31" i="9"/>
  <c r="J32" i="9"/>
  <c r="J33" i="9"/>
  <c r="J34" i="9"/>
  <c r="J35" i="9"/>
  <c r="J36" i="9"/>
  <c r="J37" i="9"/>
  <c r="J38" i="9"/>
  <c r="J39" i="9"/>
  <c r="J40" i="9"/>
  <c r="J44" i="9"/>
  <c r="J45" i="9"/>
  <c r="J46" i="9"/>
  <c r="J47" i="9"/>
  <c r="J48" i="9"/>
  <c r="J50" i="9"/>
  <c r="J51" i="9"/>
  <c r="J52" i="9"/>
  <c r="J53" i="9"/>
  <c r="J54" i="9"/>
  <c r="J55" i="9"/>
  <c r="J57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H58" i="9"/>
  <c r="H28" i="9"/>
  <c r="H56" i="9" l="1"/>
  <c r="H41" i="9" s="1"/>
  <c r="J58" i="9"/>
  <c r="H229" i="9"/>
  <c r="H180" i="9" s="1"/>
  <c r="H27" i="9"/>
  <c r="J27" i="9" s="1"/>
  <c r="J28" i="9"/>
  <c r="B329" i="2"/>
  <c r="J56" i="9" l="1"/>
  <c r="B384" i="2"/>
  <c r="B269" i="1" l="1"/>
  <c r="B214" i="1" l="1"/>
  <c r="B12" i="1" s="1"/>
  <c r="B387" i="2"/>
  <c r="B383" i="2" s="1"/>
  <c r="B321" i="2"/>
  <c r="B169" i="2"/>
  <c r="H167" i="9" l="1"/>
  <c r="H170" i="9" l="1"/>
  <c r="H17" i="9" l="1"/>
  <c r="H156" i="9"/>
  <c r="H152" i="9" s="1"/>
  <c r="J152" i="9" s="1"/>
  <c r="J246" i="9"/>
  <c r="J239" i="9"/>
  <c r="J236" i="9"/>
  <c r="J186" i="9"/>
  <c r="J115" i="9"/>
  <c r="J116" i="9"/>
  <c r="J117" i="9"/>
  <c r="J118" i="9"/>
  <c r="J119" i="9"/>
  <c r="J121" i="9"/>
  <c r="J122" i="9"/>
  <c r="J123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9" i="9"/>
  <c r="J140" i="9"/>
  <c r="J142" i="9"/>
  <c r="J143" i="9"/>
  <c r="J144" i="9"/>
  <c r="J146" i="9"/>
  <c r="J147" i="9"/>
  <c r="J148" i="9"/>
  <c r="J149" i="9"/>
  <c r="J150" i="9"/>
  <c r="J151" i="9"/>
  <c r="J153" i="9"/>
  <c r="J154" i="9"/>
  <c r="J155" i="9"/>
  <c r="J159" i="9"/>
  <c r="J160" i="9"/>
  <c r="J161" i="9"/>
  <c r="J163" i="9"/>
  <c r="J164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81" i="9"/>
  <c r="J182" i="9"/>
  <c r="J183" i="9"/>
  <c r="J184" i="9"/>
  <c r="J185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4" i="9"/>
  <c r="J215" i="9"/>
  <c r="J216" i="9"/>
  <c r="J217" i="9"/>
  <c r="J219" i="9"/>
  <c r="J220" i="9"/>
  <c r="J221" i="9"/>
  <c r="J222" i="9"/>
  <c r="J223" i="9"/>
  <c r="J224" i="9"/>
  <c r="J225" i="9"/>
  <c r="J226" i="9"/>
  <c r="J227" i="9"/>
  <c r="J228" i="9"/>
  <c r="J230" i="9"/>
  <c r="J231" i="9"/>
  <c r="J232" i="9"/>
  <c r="J233" i="9"/>
  <c r="J234" i="9"/>
  <c r="J235" i="9"/>
  <c r="J237" i="9"/>
  <c r="J238" i="9"/>
  <c r="J240" i="9"/>
  <c r="J241" i="9"/>
  <c r="J242" i="9"/>
  <c r="J243" i="9"/>
  <c r="J244" i="9"/>
  <c r="J245" i="9"/>
  <c r="J255" i="9"/>
  <c r="H158" i="9"/>
  <c r="J158" i="9" s="1"/>
  <c r="H145" i="9"/>
  <c r="J145" i="9" s="1"/>
  <c r="J125" i="9"/>
  <c r="H124" i="9"/>
  <c r="J124" i="9" s="1"/>
  <c r="H120" i="9"/>
  <c r="E43" i="9"/>
  <c r="H24" i="9"/>
  <c r="J24" i="9" s="1"/>
  <c r="H19" i="9"/>
  <c r="J19" i="9" s="1"/>
  <c r="E42" i="9" l="1"/>
  <c r="E41" i="9" s="1"/>
  <c r="E14" i="9" s="1"/>
  <c r="J17" i="9"/>
  <c r="H16" i="9"/>
  <c r="H15" i="9" s="1"/>
  <c r="J43" i="9"/>
  <c r="H114" i="9"/>
  <c r="J114" i="9" s="1"/>
  <c r="J120" i="9"/>
  <c r="J156" i="9"/>
  <c r="H141" i="9"/>
  <c r="J141" i="9" s="1"/>
  <c r="J180" i="9"/>
  <c r="C42" i="9"/>
  <c r="B441" i="1"/>
  <c r="J42" i="9" l="1"/>
  <c r="C41" i="9"/>
  <c r="C14" i="9" s="1"/>
  <c r="J15" i="9"/>
  <c r="J16" i="9"/>
  <c r="J229" i="9"/>
  <c r="B30" i="2"/>
  <c r="B34" i="2" l="1"/>
  <c r="B13" i="2" s="1"/>
  <c r="J41" i="9"/>
  <c r="B434" i="1"/>
  <c r="C13" i="8" l="1"/>
  <c r="C52" i="8"/>
  <c r="E14" i="7" l="1"/>
  <c r="B205" i="2" l="1"/>
  <c r="B201" i="2" s="1"/>
  <c r="B328" i="2" l="1"/>
  <c r="B382" i="1" l="1"/>
  <c r="B379" i="1" s="1"/>
  <c r="B304" i="1" s="1"/>
  <c r="H162" i="9"/>
  <c r="J162" i="9" s="1"/>
  <c r="B423" i="1" l="1"/>
  <c r="B422" i="1" s="1"/>
  <c r="H165" i="9"/>
  <c r="J165" i="9" s="1"/>
  <c r="H157" i="9" l="1"/>
  <c r="J157" i="9" s="1"/>
  <c r="H138" i="9" l="1"/>
  <c r="B238" i="2"/>
  <c r="B229" i="2" s="1"/>
  <c r="B325" i="2"/>
  <c r="B324" i="2" s="1"/>
  <c r="B420" i="2"/>
  <c r="H16" i="6"/>
  <c r="E16" i="6"/>
  <c r="D16" i="6"/>
  <c r="J138" i="9" l="1"/>
  <c r="H14" i="9"/>
  <c r="J14" i="9" s="1"/>
  <c r="B217" i="2"/>
  <c r="F16" i="6"/>
  <c r="G16" i="6"/>
  <c r="B12" i="2"/>
  <c r="B399" i="2" l="1"/>
  <c r="B441" i="2" s="1"/>
  <c r="B443" i="2" s="1"/>
  <c r="B445" i="2" s="1"/>
  <c r="B460" i="2" l="1"/>
</calcChain>
</file>

<file path=xl/sharedStrings.xml><?xml version="1.0" encoding="utf-8"?>
<sst xmlns="http://schemas.openxmlformats.org/spreadsheetml/2006/main" count="1827" uniqueCount="1563">
  <si>
    <t>가.증권거래현황</t>
  </si>
  <si>
    <t>계정명</t>
  </si>
  <si>
    <t>매수</t>
  </si>
  <si>
    <t>매도</t>
  </si>
  <si>
    <t>합계</t>
  </si>
  <si>
    <t>잔액</t>
  </si>
  <si>
    <t>평가손익</t>
  </si>
  <si>
    <t>지분증권</t>
  </si>
  <si>
    <t>주식</t>
  </si>
  <si>
    <t>유가증권시장</t>
  </si>
  <si>
    <t>코스닥시장</t>
  </si>
  <si>
    <t>코넥스시장</t>
  </si>
  <si>
    <t>기타</t>
  </si>
  <si>
    <t>소계</t>
  </si>
  <si>
    <t>신주인수권증권</t>
  </si>
  <si>
    <t>계</t>
  </si>
  <si>
    <t>채무증권</t>
  </si>
  <si>
    <t>국채,지방채</t>
  </si>
  <si>
    <t>국고채</t>
  </si>
  <si>
    <t>국민주택채권</t>
  </si>
  <si>
    <t>특수채</t>
  </si>
  <si>
    <t>통화안정증권</t>
  </si>
  <si>
    <t>예금보험공사채</t>
  </si>
  <si>
    <t>토지개발채권</t>
  </si>
  <si>
    <t>금융채</t>
  </si>
  <si>
    <t>산금채</t>
  </si>
  <si>
    <t>중기채</t>
  </si>
  <si>
    <t>은행채</t>
  </si>
  <si>
    <t>여전채</t>
  </si>
  <si>
    <t>종금채</t>
  </si>
  <si>
    <t>회사채</t>
  </si>
  <si>
    <t>기업어음증권</t>
  </si>
  <si>
    <t>집합투자증권</t>
  </si>
  <si>
    <t>ETF</t>
  </si>
  <si>
    <t>투자계약증권</t>
  </si>
  <si>
    <t>외화증권</t>
  </si>
  <si>
    <t>파생결합증권</t>
  </si>
  <si>
    <t>ELS</t>
  </si>
  <si>
    <t>ELW</t>
  </si>
  <si>
    <t>기타증권</t>
  </si>
  <si>
    <t>가.재무상태표</t>
  </si>
  <si>
    <t>금액</t>
  </si>
  <si>
    <t>자산총계</t>
  </si>
  <si>
    <t>Ⅰ. 현금 및 예치금</t>
  </si>
  <si>
    <t xml:space="preserve">    1. 현금 및 현금성 자산</t>
  </si>
  <si>
    <t xml:space="preserve"> </t>
    <phoneticPr fontId="1" type="noConversion"/>
  </si>
  <si>
    <t xml:space="preserve">        1) 현금</t>
  </si>
  <si>
    <t xml:space="preserve">        2) 정기예.적금</t>
  </si>
  <si>
    <t xml:space="preserve">        3) 보통예금</t>
  </si>
  <si>
    <t xml:space="preserve">        4) 당좌예금</t>
  </si>
  <si>
    <t xml:space="preserve">        5) 외화예금</t>
  </si>
  <si>
    <t xml:space="preserve">        6) 양도성예금증서</t>
  </si>
  <si>
    <t xml:space="preserve">        7) MMDA</t>
  </si>
  <si>
    <t xml:space="preserve">        8) MMF</t>
  </si>
  <si>
    <t xml:space="preserve">        10) 기타</t>
  </si>
  <si>
    <t xml:space="preserve">    2. 예치금</t>
  </si>
  <si>
    <t xml:space="preserve">        1) 청약예치금</t>
  </si>
  <si>
    <t xml:space="preserve">            ① 자기분</t>
  </si>
  <si>
    <t xml:space="preserve">            ② 투자자분</t>
  </si>
  <si>
    <t xml:space="preserve">        2) 투자자예탁금별도예치금(예금)</t>
  </si>
  <si>
    <t xml:space="preserve">            ① 일반예수분</t>
  </si>
  <si>
    <t xml:space="preserve">            ② 장내파생상품거래분</t>
  </si>
  <si>
    <t xml:space="preserve">            ③ 집합투자증권투자자예수분</t>
  </si>
  <si>
    <t xml:space="preserve">        3) 투자자예탁금별도예치금(신탁)</t>
  </si>
  <si>
    <t xml:space="preserve">        4) 대차거래이행보증금</t>
  </si>
  <si>
    <t xml:space="preserve">        5) 매매예납금 </t>
  </si>
  <si>
    <t xml:space="preserve">        6) 장내파생상품거래예치금</t>
  </si>
  <si>
    <t xml:space="preserve">            ① 자기분(국내)</t>
  </si>
  <si>
    <t xml:space="preserve">            ② 자기분(해외)</t>
  </si>
  <si>
    <t xml:space="preserve">            ③ 투자자분(국내)</t>
  </si>
  <si>
    <t xml:space="preserve">            ④ 투자자분(해외)</t>
  </si>
  <si>
    <t xml:space="preserve">        7) 장내파생상품매매증거금</t>
  </si>
  <si>
    <t xml:space="preserve">        8) 유통금융차주담보금</t>
  </si>
  <si>
    <t xml:space="preserve">        9) 유통금융담보금</t>
  </si>
  <si>
    <t xml:space="preserve">        10) 장기성예금</t>
  </si>
  <si>
    <t xml:space="preserve">        11) 특정예금 등</t>
  </si>
  <si>
    <t xml:space="preserve">        12) 신탁공탁금</t>
  </si>
  <si>
    <t xml:space="preserve">        13) 기타</t>
  </si>
  <si>
    <t>Ⅱ. 증권</t>
  </si>
  <si>
    <t xml:space="preserve">    1.당기손익-공정가치측정증권</t>
  </si>
  <si>
    <t xml:space="preserve">        1) 주식</t>
  </si>
  <si>
    <t xml:space="preserve">        2) 신주인수권증서</t>
  </si>
  <si>
    <t xml:space="preserve">        3) 국채·지방채</t>
  </si>
  <si>
    <t xml:space="preserve">        4) 특수채</t>
  </si>
  <si>
    <t xml:space="preserve">        5) 회사채</t>
  </si>
  <si>
    <t xml:space="preserve">        6) 집합투자증권</t>
  </si>
  <si>
    <t xml:space="preserve">            ① 미매각집합투자증권</t>
  </si>
  <si>
    <t xml:space="preserve">            ② 기타집합투자증권</t>
  </si>
  <si>
    <t xml:space="preserve">        7) 기업어음증권</t>
  </si>
  <si>
    <t xml:space="preserve">        8) 외화증권</t>
  </si>
  <si>
    <t xml:space="preserve">            ① 외화주식</t>
  </si>
  <si>
    <t xml:space="preserve">            ② 외화채권</t>
  </si>
  <si>
    <t xml:space="preserve">            ③ 기타</t>
  </si>
  <si>
    <t xml:space="preserve">        9) 기타</t>
  </si>
  <si>
    <t xml:space="preserve">    2. 기타포괄손익-공정가치측정증권</t>
  </si>
  <si>
    <t xml:space="preserve">        2) 출자금</t>
  </si>
  <si>
    <t xml:space="preserve">    3. 상각후원가측정증권</t>
  </si>
  <si>
    <t xml:space="preserve">        1) 국채·지방채</t>
  </si>
  <si>
    <t xml:space="preserve">        2) 특수채</t>
  </si>
  <si>
    <t xml:space="preserve">        3) 회사채</t>
  </si>
  <si>
    <t xml:space="preserve">        4) 기타</t>
  </si>
  <si>
    <t xml:space="preserve">    4. 관계회사투자지분</t>
  </si>
  <si>
    <t xml:space="preserve">        1) 연결대상회사 투자지분</t>
  </si>
  <si>
    <t xml:space="preserve">            ① 주식</t>
  </si>
  <si>
    <t xml:space="preserve">            ② 출자금</t>
  </si>
  <si>
    <t xml:space="preserve">            ③ 집합투자증권</t>
  </si>
  <si>
    <t xml:space="preserve">        2) 비연결대상회사 투자지분</t>
  </si>
  <si>
    <t xml:space="preserve">    5. 파생결합증권</t>
  </si>
  <si>
    <t xml:space="preserve">        1) 주가연계증권</t>
  </si>
  <si>
    <t xml:space="preserve">        2) 주식워런트증권</t>
  </si>
  <si>
    <t xml:space="preserve">        3) 기타</t>
  </si>
  <si>
    <t xml:space="preserve">        4) 파생결합증권 신용위험평가조정액</t>
  </si>
  <si>
    <t xml:space="preserve">        5) 파생결합증권 거래일손익인식평가조정액</t>
  </si>
  <si>
    <t xml:space="preserve">    6. 대손충당금(-)</t>
  </si>
  <si>
    <t xml:space="preserve">        1) 상각후원가측정증권대손충당금</t>
  </si>
  <si>
    <t>Ⅲ. 파생상품자산</t>
  </si>
  <si>
    <t xml:space="preserve">    1. 이자율관련</t>
  </si>
  <si>
    <t xml:space="preserve">        1) 이자율선도</t>
  </si>
  <si>
    <t xml:space="preserve">        2) 이자율스왑</t>
  </si>
  <si>
    <t xml:space="preserve">        3) 매입이자율옵션</t>
  </si>
  <si>
    <t xml:space="preserve">    2. 통화관련</t>
  </si>
  <si>
    <t xml:space="preserve">        1) 통화선도</t>
  </si>
  <si>
    <t xml:space="preserve">        2) 통화스왑</t>
  </si>
  <si>
    <t xml:space="preserve">        3) 매입통화옵션</t>
  </si>
  <si>
    <t xml:space="preserve">    3. 주식관련</t>
  </si>
  <si>
    <t xml:space="preserve">        1) 주식선도</t>
  </si>
  <si>
    <t xml:space="preserve">        2) 주식스왑</t>
  </si>
  <si>
    <t xml:space="preserve">        3) 매입주식옵션</t>
  </si>
  <si>
    <t xml:space="preserve">    4. 신용관련</t>
  </si>
  <si>
    <t xml:space="preserve">        1) 신용스왑</t>
  </si>
  <si>
    <t xml:space="preserve">        2) 매입신용옵션</t>
  </si>
  <si>
    <t xml:space="preserve">    5. 상품관련</t>
  </si>
  <si>
    <t xml:space="preserve">        1) 상품선도</t>
  </si>
  <si>
    <t xml:space="preserve">        2) 상품스왑</t>
  </si>
  <si>
    <t xml:space="preserve">        3) 매입상품옵션</t>
  </si>
  <si>
    <t xml:space="preserve">    6. 기타파생상품자산</t>
  </si>
  <si>
    <t xml:space="preserve">    7. 파생상품 신용위험평가조정액</t>
  </si>
  <si>
    <t xml:space="preserve">    8. 파생상품 거래일손익인식평가조정액</t>
  </si>
  <si>
    <t>Ⅳ. 대출채권</t>
  </si>
  <si>
    <t xml:space="preserve">    (현재가치할인차금)(-)</t>
  </si>
  <si>
    <t xml:space="preserve">    (현재가치할증차금)(+)</t>
  </si>
  <si>
    <t xml:space="preserve">    (이연대출부대손익)</t>
  </si>
  <si>
    <t xml:space="preserve">    1. 콜론</t>
  </si>
  <si>
    <t xml:space="preserve">    2. 신용공여금</t>
  </si>
  <si>
    <t xml:space="preserve">        1) 신용거래융자금</t>
  </si>
  <si>
    <t xml:space="preserve">        2) 주식청약자금 대출금</t>
  </si>
  <si>
    <t xml:space="preserve">        3) 증권매입자금 대출금</t>
  </si>
  <si>
    <t xml:space="preserve">        4) 증권담보대출금</t>
  </si>
  <si>
    <t xml:space="preserve">        5) 기타</t>
  </si>
  <si>
    <t xml:space="preserve">    3. 환매조건부매수</t>
  </si>
  <si>
    <t xml:space="preserve">    4. 대여금</t>
  </si>
  <si>
    <t xml:space="preserve">        1) 증권저축할부대여금</t>
  </si>
  <si>
    <t xml:space="preserve">        2) 임직원대여금</t>
  </si>
  <si>
    <t xml:space="preserve">    5. 대출금</t>
  </si>
  <si>
    <t xml:space="preserve">    6. 대출금(종금계정)</t>
  </si>
  <si>
    <t xml:space="preserve">    7. 할인어음(종금계정)</t>
  </si>
  <si>
    <t xml:space="preserve">    8. 매입 대출채권</t>
  </si>
  <si>
    <t xml:space="preserve">    9. 대지급금</t>
  </si>
  <si>
    <t xml:space="preserve">        1) 사채지급보증대지급금</t>
  </si>
  <si>
    <t xml:space="preserve">        2) 어음지급보증 대지급금(종금계정)</t>
  </si>
  <si>
    <t xml:space="preserve">        3) 사고대지급금</t>
  </si>
  <si>
    <t xml:space="preserve">        4) 우선대지급금</t>
  </si>
  <si>
    <t xml:space="preserve">    10. 부도채권</t>
  </si>
  <si>
    <t xml:space="preserve">    11. 부도어음</t>
  </si>
  <si>
    <t xml:space="preserve">    12. 사모사채</t>
  </si>
  <si>
    <t xml:space="preserve">    13. 신탁계정대</t>
  </si>
  <si>
    <t xml:space="preserve">    14. 종금계정대</t>
  </si>
  <si>
    <t xml:space="preserve">    15. 기타 대출채권</t>
  </si>
  <si>
    <t xml:space="preserve">    16. 대손충당금(-)</t>
  </si>
  <si>
    <t xml:space="preserve">        1) 콜론대손충당금</t>
  </si>
  <si>
    <t xml:space="preserve">        2) 신용공여금대손충당금</t>
  </si>
  <si>
    <t xml:space="preserve">        3) 환매조건부매수대손충당금</t>
  </si>
  <si>
    <t xml:space="preserve">        4) 대여금대손충당금</t>
  </si>
  <si>
    <t xml:space="preserve">        5) 대출금대손충당금</t>
  </si>
  <si>
    <t xml:space="preserve">        6) 대출금(종금계정)대손충당금</t>
  </si>
  <si>
    <t xml:space="preserve">        7) 할인어음(종금계정) 대손충당금</t>
  </si>
  <si>
    <t xml:space="preserve">        8) 매입대출채권 대손충당금</t>
  </si>
  <si>
    <t xml:space="preserve">        9) 대지급금대손충당금</t>
  </si>
  <si>
    <t xml:space="preserve">        10) 부도채권 대손충당금</t>
  </si>
  <si>
    <t xml:space="preserve">        11) 부도어음 대손충당금</t>
  </si>
  <si>
    <t xml:space="preserve">        12) 사모사채 대손충당금</t>
  </si>
  <si>
    <t xml:space="preserve">        13) 신탁계정대 대손충당금</t>
  </si>
  <si>
    <t xml:space="preserve">        14) 종금계정대 대손충당금</t>
  </si>
  <si>
    <t xml:space="preserve">        15) 기타 대손충당금</t>
  </si>
  <si>
    <t>Ⅴ. 유형자산</t>
  </si>
  <si>
    <t xml:space="preserve">    (손상차손누계액)</t>
  </si>
  <si>
    <t xml:space="preserve">    1. 토지</t>
  </si>
  <si>
    <t xml:space="preserve">    2. 건물</t>
  </si>
  <si>
    <t xml:space="preserve">    3. 구축물</t>
  </si>
  <si>
    <t xml:space="preserve">    4. 차량운반구</t>
  </si>
  <si>
    <t xml:space="preserve">    5. 비품</t>
  </si>
  <si>
    <t xml:space="preserve">    6. 건설중인자산</t>
  </si>
  <si>
    <t xml:space="preserve">    7. 운용리스자산(종금계정)</t>
  </si>
  <si>
    <t xml:space="preserve">    8. 선급리스자산(종금계정)</t>
  </si>
  <si>
    <t xml:space="preserve">    9. 기타</t>
  </si>
  <si>
    <t xml:space="preserve">    10. 감가상각누계액(-)</t>
  </si>
  <si>
    <t xml:space="preserve">        1) 건물</t>
  </si>
  <si>
    <t xml:space="preserve">        2) 구축물</t>
  </si>
  <si>
    <t xml:space="preserve">        3) 차량운반구</t>
  </si>
  <si>
    <t xml:space="preserve">        4) 비품</t>
  </si>
  <si>
    <t xml:space="preserve">    11. 감가상각누계액(종금계정)(-)</t>
  </si>
  <si>
    <t xml:space="preserve">    12. 처분손실충당금(종금계정)(-)</t>
  </si>
  <si>
    <t>Ⅵ. CMA운용자산(종금계정)</t>
  </si>
  <si>
    <t xml:space="preserve">    1. CMA 현금과예금</t>
  </si>
  <si>
    <t xml:space="preserve">    2. CMA 증권</t>
  </si>
  <si>
    <t xml:space="preserve">    3. CMA 할인어음</t>
  </si>
  <si>
    <t xml:space="preserve">    4. CMA 기타</t>
  </si>
  <si>
    <t xml:space="preserve">    5. 대손충당금(종금계정)(-)</t>
  </si>
  <si>
    <t>Ⅶ. 리스자산(종금계정)</t>
  </si>
  <si>
    <t xml:space="preserve">    1. 금융리스채권</t>
  </si>
  <si>
    <t xml:space="preserve">    2. 기타</t>
  </si>
  <si>
    <t xml:space="preserve">    3. 대손충당금(종금계정)(-)</t>
  </si>
  <si>
    <t xml:space="preserve">Ⅷ. 기타자산 </t>
  </si>
  <si>
    <t xml:space="preserve">    1. 미수금</t>
  </si>
  <si>
    <t xml:space="preserve">        1) 자기매매미수금</t>
  </si>
  <si>
    <t xml:space="preserve">            ① 주식미수금</t>
  </si>
  <si>
    <t xml:space="preserve">            ② 채권미수금</t>
  </si>
  <si>
    <t xml:space="preserve">            ③ 장내파생상품미수금</t>
  </si>
  <si>
    <t xml:space="preserve">            ④ 기타</t>
  </si>
  <si>
    <t xml:space="preserve">        2) 위탁매매미수금(결제일)</t>
  </si>
  <si>
    <t xml:space="preserve">        3) 장내거래미수금(거래일)</t>
  </si>
  <si>
    <t xml:space="preserve">            ① 고객미수금</t>
  </si>
  <si>
    <t xml:space="preserve">            ② 한국거래소미수금</t>
  </si>
  <si>
    <t xml:space="preserve">        4) 신탁보수미수금</t>
  </si>
  <si>
    <t xml:space="preserve">    2. 미수수익</t>
  </si>
  <si>
    <t xml:space="preserve">        1) 미수수수료</t>
  </si>
  <si>
    <t xml:space="preserve">            ① 미수수탁수수료</t>
  </si>
  <si>
    <t xml:space="preserve">            ② 미수인수및주선수수료</t>
  </si>
  <si>
    <t xml:space="preserve">            ③ 미수집합투자증권취급수수료</t>
  </si>
  <si>
    <t xml:space="preserve">            ④ 미수파생결합증권판매수수료</t>
  </si>
  <si>
    <t xml:space="preserve">            ⑤ 미수투자자문수수료</t>
  </si>
  <si>
    <t xml:space="preserve">            ⑥ 미수투자일임수수료</t>
  </si>
  <si>
    <t xml:space="preserve">            ⑦ 미수투자신탁위탁자보수</t>
  </si>
  <si>
    <t xml:space="preserve">            ⑧ 미수투자회사운용수수료</t>
  </si>
  <si>
    <t xml:space="preserve">            ⑨ 미수신탁보수</t>
  </si>
  <si>
    <t xml:space="preserve">        2) 미수이자</t>
  </si>
  <si>
    <t xml:space="preserve">            ① 미수신용거래융자이자</t>
  </si>
  <si>
    <t xml:space="preserve">            ② 미수채권이자</t>
  </si>
  <si>
    <t xml:space="preserve">            ③ 미수신탁계정대이자</t>
  </si>
  <si>
    <t xml:space="preserve">        3) 미수배당금</t>
  </si>
  <si>
    <t xml:space="preserve">        4) 미수분배금</t>
  </si>
  <si>
    <t xml:space="preserve">    3. 선급금</t>
  </si>
  <si>
    <t xml:space="preserve">        1) 채권경과이자</t>
  </si>
  <si>
    <t xml:space="preserve">        2) 수익증권경과분배금</t>
  </si>
  <si>
    <t xml:space="preserve">        3) 양도성예금증서경과이자</t>
  </si>
  <si>
    <t xml:space="preserve">    4. 선급비용</t>
  </si>
  <si>
    <t xml:space="preserve">    5. 선급제세</t>
  </si>
  <si>
    <t xml:space="preserve">        1) 선급법인세</t>
  </si>
  <si>
    <t xml:space="preserve">        2) 선급부가가치세</t>
  </si>
  <si>
    <t xml:space="preserve">    6. 대리점</t>
  </si>
  <si>
    <t xml:space="preserve">    7. 본.지점</t>
  </si>
  <si>
    <t xml:space="preserve">    8. 선물자기거래정산차금</t>
  </si>
  <si>
    <t xml:space="preserve">        1) 국내분</t>
  </si>
  <si>
    <t xml:space="preserve">        2) 해외분</t>
  </si>
  <si>
    <t xml:space="preserve">    9. 보증금</t>
  </si>
  <si>
    <t xml:space="preserve">        1) 전세권</t>
  </si>
  <si>
    <t xml:space="preserve">        2) 전신전화가입권</t>
  </si>
  <si>
    <t xml:space="preserve">        3) 임차보증금</t>
  </si>
  <si>
    <t xml:space="preserve">        4) 회원보증금</t>
  </si>
  <si>
    <t xml:space="preserve">    10. 투자부동산</t>
  </si>
  <si>
    <t xml:space="preserve">        (손상차손누계액)</t>
  </si>
  <si>
    <t xml:space="preserve">        1) 토지</t>
  </si>
  <si>
    <t xml:space="preserve">        2) 건물</t>
  </si>
  <si>
    <t xml:space="preserve">        3) 건물감가상각누계액(-)</t>
  </si>
  <si>
    <t xml:space="preserve">    11. 손해배상공동기금</t>
  </si>
  <si>
    <t xml:space="preserve">        1) 증권시장공동기금</t>
  </si>
  <si>
    <t xml:space="preserve">        2) 파생상품시장공동기금</t>
  </si>
  <si>
    <t xml:space="preserve">    12. 무형자산</t>
  </si>
  <si>
    <t xml:space="preserve">        1) 영업권</t>
  </si>
  <si>
    <t xml:space="preserve">        2) 개발비</t>
  </si>
  <si>
    <t xml:space="preserve">        3) 소프트웨어</t>
  </si>
  <si>
    <t xml:space="preserve">        4) 회원권</t>
  </si>
  <si>
    <t xml:space="preserve">    13. 가지급금</t>
  </si>
  <si>
    <t xml:space="preserve">    14. 이연법인세자산</t>
  </si>
  <si>
    <t xml:space="preserve">    15. 일반상품</t>
  </si>
  <si>
    <t xml:space="preserve">    16. 기타</t>
  </si>
  <si>
    <t xml:space="preserve">    17. 대손충당금(-)</t>
  </si>
  <si>
    <t xml:space="preserve">        1) 미수금대손충당금</t>
  </si>
  <si>
    <t xml:space="preserve">        2) 미수수익대손충당금</t>
  </si>
  <si>
    <t xml:space="preserve">            ① 미수수수료대손충당금</t>
  </si>
  <si>
    <t xml:space="preserve">            ② 미수이자대손충당금</t>
  </si>
  <si>
    <t xml:space="preserve">            ③ 기타대손충당금</t>
  </si>
  <si>
    <t xml:space="preserve">        3) 선급금대손충당금</t>
  </si>
  <si>
    <t xml:space="preserve">        4) 기타대손충당금</t>
  </si>
  <si>
    <t>부채총계</t>
  </si>
  <si>
    <t>Ⅰ. 예수부채</t>
  </si>
  <si>
    <t xml:space="preserve">    1. 투자자예수금</t>
  </si>
  <si>
    <t xml:space="preserve">        1) 위탁자예수금</t>
  </si>
  <si>
    <t xml:space="preserve">        2) 장내파생상품거래예수금</t>
  </si>
  <si>
    <t xml:space="preserve">        3) 청약자예수금</t>
  </si>
  <si>
    <t xml:space="preserve">        4) 저축자예수금</t>
  </si>
  <si>
    <t xml:space="preserve">        5) 조건부예수금</t>
  </si>
  <si>
    <t xml:space="preserve">        6) 집합투자증권투자자예수금</t>
  </si>
  <si>
    <t xml:space="preserve">        7) 기타</t>
  </si>
  <si>
    <t xml:space="preserve">    2. 수입담보금</t>
  </si>
  <si>
    <t xml:space="preserve">        1) 신용거래계좌설정보증금</t>
  </si>
  <si>
    <t xml:space="preserve">        2) 신용대주담보금</t>
  </si>
  <si>
    <t xml:space="preserve">        3) 신용공여담보금</t>
  </si>
  <si>
    <t xml:space="preserve">    3. 리스보증금(종금계정)</t>
  </si>
  <si>
    <t xml:space="preserve">    4. CMA수탁금(종금계정)</t>
  </si>
  <si>
    <t xml:space="preserve">    5. 기타</t>
  </si>
  <si>
    <t>Ⅱ. 차입부채</t>
  </si>
  <si>
    <t xml:space="preserve">    1. 콜머니</t>
  </si>
  <si>
    <t xml:space="preserve">    2. 차입금</t>
  </si>
  <si>
    <t xml:space="preserve">        1) 당좌차월</t>
  </si>
  <si>
    <t xml:space="preserve">        2) 은행차입금</t>
  </si>
  <si>
    <t xml:space="preserve">        3) 증금차입금</t>
  </si>
  <si>
    <t xml:space="preserve">        4) 외화차입금</t>
  </si>
  <si>
    <t xml:space="preserve">    3. 환매조건부매도</t>
  </si>
  <si>
    <t xml:space="preserve">    4. 매도증권</t>
  </si>
  <si>
    <t xml:space="preserve">        2) 국채·지방채</t>
  </si>
  <si>
    <t xml:space="preserve">        3) 특수채</t>
  </si>
  <si>
    <t xml:space="preserve">        4) 회사채</t>
  </si>
  <si>
    <t xml:space="preserve">    5. 매도파생결합증권</t>
  </si>
  <si>
    <t xml:space="preserve">        1) 매도주가연계증권</t>
  </si>
  <si>
    <t xml:space="preserve">        2) 매도주식워런트증권</t>
  </si>
  <si>
    <t xml:space="preserve">        4) 매도파생결합증권 신용위험평가조정액</t>
  </si>
  <si>
    <t xml:space="preserve">        5) 매도파생결합증권 거래일손익인식평가조정액</t>
  </si>
  <si>
    <t xml:space="preserve">    6. 사채</t>
  </si>
  <si>
    <t xml:space="preserve">        (사채발행차금)</t>
  </si>
  <si>
    <t xml:space="preserve">        1) 전자단기사채</t>
  </si>
  <si>
    <t xml:space="preserve">        2) 전자단기사채 이외</t>
  </si>
  <si>
    <t xml:space="preserve">    7. 후순위사채</t>
  </si>
  <si>
    <t xml:space="preserve">    8. 후순위차입금</t>
  </si>
  <si>
    <t xml:space="preserve">    9. 발행어음(종금계정)</t>
  </si>
  <si>
    <t xml:space="preserve">    10. 발행어음(종합금융투자사업자)</t>
  </si>
  <si>
    <t xml:space="preserve">    11. 기타</t>
  </si>
  <si>
    <t>Ⅲ. 파생상품부채</t>
  </si>
  <si>
    <t xml:space="preserve">        3) 매도이자율옵션</t>
  </si>
  <si>
    <t xml:space="preserve">        3) 매도통화옵션</t>
  </si>
  <si>
    <t xml:space="preserve">        3) 매도주식옵션</t>
  </si>
  <si>
    <t xml:space="preserve">        2) 매도신용옵션</t>
  </si>
  <si>
    <t xml:space="preserve">        3) 매도상품옵션</t>
  </si>
  <si>
    <t xml:space="preserve">    6. 기타파생상품부채</t>
  </si>
  <si>
    <t>Ⅳ. 기타부채</t>
  </si>
  <si>
    <t xml:space="preserve">    1. 퇴직급여부채</t>
  </si>
  <si>
    <t xml:space="preserve">        1) 확정급여채무</t>
  </si>
  <si>
    <t xml:space="preserve">        2) 미인식보험수리적손익(+,-)</t>
  </si>
  <si>
    <t xml:space="preserve">        3) 미인식과거근무원가(-)</t>
  </si>
  <si>
    <t xml:space="preserve">        4) 사외적립자산(-)</t>
  </si>
  <si>
    <t xml:space="preserve">            ① 퇴직연금(-)</t>
  </si>
  <si>
    <t xml:space="preserve">            ② 기타사외적립자산(-)</t>
  </si>
  <si>
    <t xml:space="preserve">    2. 충당부채</t>
  </si>
  <si>
    <t xml:space="preserve">        1) 채무보증충당부채</t>
  </si>
  <si>
    <t xml:space="preserve">        2) 복구충당부채</t>
  </si>
  <si>
    <t xml:space="preserve">        3) 특별대손충당금</t>
  </si>
  <si>
    <t xml:space="preserve">        4) 신탁위험충당금</t>
  </si>
  <si>
    <t xml:space="preserve">    3. 미지급법인세</t>
  </si>
  <si>
    <t xml:space="preserve">    4. 미지급배당금</t>
  </si>
  <si>
    <t xml:space="preserve">    5. 미지급금</t>
  </si>
  <si>
    <t xml:space="preserve">    6. 미지급비용</t>
  </si>
  <si>
    <t xml:space="preserve">    7. 임대보증금</t>
  </si>
  <si>
    <t xml:space="preserve">    8. 선수금</t>
  </si>
  <si>
    <t xml:space="preserve">    9. 선수수익</t>
  </si>
  <si>
    <t xml:space="preserve">    10. 가수금</t>
  </si>
  <si>
    <t xml:space="preserve">    11. 대리점</t>
  </si>
  <si>
    <t xml:space="preserve">    12. 본.지점</t>
  </si>
  <si>
    <t xml:space="preserve">    13. 선물자기거래 정산차금</t>
  </si>
  <si>
    <t xml:space="preserve">    14. 이연법인세부채</t>
  </si>
  <si>
    <t xml:space="preserve">    15. 제세금예수금</t>
  </si>
  <si>
    <t xml:space="preserve">    16. 신탁계정차</t>
  </si>
  <si>
    <t xml:space="preserve">    17. 종금계정차</t>
  </si>
  <si>
    <t>Ⅴ. 요구불상환지분</t>
  </si>
  <si>
    <t xml:space="preserve">    1. 상환우선주</t>
  </si>
  <si>
    <t>자본총계</t>
  </si>
  <si>
    <t>Ⅰ. 자본금</t>
  </si>
  <si>
    <t xml:space="preserve">    1. 보통주자본금</t>
  </si>
  <si>
    <t xml:space="preserve">    2. 우선주자본금</t>
  </si>
  <si>
    <t xml:space="preserve">        1) 상환우선주</t>
  </si>
  <si>
    <t xml:space="preserve">        2) 전환우선주</t>
  </si>
  <si>
    <t>Ⅱ. 자본잉여금</t>
  </si>
  <si>
    <t xml:space="preserve">    1. 주식발행초과금</t>
  </si>
  <si>
    <t xml:space="preserve">    2. 감자차익</t>
  </si>
  <si>
    <t xml:space="preserve">    3. 자기주식처분이익</t>
  </si>
  <si>
    <t xml:space="preserve">    4. 기타자본잉여금</t>
  </si>
  <si>
    <t>Ⅲ. 자본조정</t>
  </si>
  <si>
    <t xml:space="preserve">    1. 주식할인발행차금</t>
  </si>
  <si>
    <t xml:space="preserve">    2. 자기주식</t>
  </si>
  <si>
    <t xml:space="preserve">    3. 자기주식처분손실</t>
  </si>
  <si>
    <t xml:space="preserve">    4. 주식매입선택권 </t>
  </si>
  <si>
    <t xml:space="preserve">    5. 신주청약증거금</t>
  </si>
  <si>
    <t xml:space="preserve">    6. 기타</t>
  </si>
  <si>
    <t>Ⅳ. 기타포괄손익누계액</t>
  </si>
  <si>
    <t xml:space="preserve">    1. 기타포괄손익-공정가치측정금융자산평가손익</t>
  </si>
  <si>
    <t xml:space="preserve">        7) 외화증권</t>
  </si>
  <si>
    <t xml:space="preserve">        8) 대출채권</t>
  </si>
  <si>
    <t xml:space="preserve">    2. 기타포괄손익-공정가치측정금융자산처분손익</t>
  </si>
  <si>
    <t xml:space="preserve">    3. 지분법 자본변동</t>
  </si>
  <si>
    <t xml:space="preserve">    4. 부의 지분법 자본변동</t>
  </si>
  <si>
    <t xml:space="preserve">    5. 위험회피 파생상품평가손익</t>
  </si>
  <si>
    <t xml:space="preserve">    6. 외환차이누계액</t>
  </si>
  <si>
    <t xml:space="preserve">    7. 유형자산재평가이익</t>
  </si>
  <si>
    <t xml:space="preserve">    8. 기타</t>
  </si>
  <si>
    <t>Ⅴ. 이익잉여금</t>
  </si>
  <si>
    <t xml:space="preserve">    1. 이익준비금</t>
  </si>
  <si>
    <t xml:space="preserve">    2. 대손준비금</t>
  </si>
  <si>
    <t xml:space="preserve">    3. 전자금융사고배상준비금</t>
  </si>
  <si>
    <t xml:space="preserve">    4. 기타법정준비금</t>
  </si>
  <si>
    <t>(당기순이익)</t>
  </si>
  <si>
    <t>Ⅰ. 영업수익</t>
  </si>
  <si>
    <t xml:space="preserve">    1. 수수료수익</t>
  </si>
  <si>
    <t xml:space="preserve">        1) 수탁수수료</t>
  </si>
  <si>
    <t xml:space="preserve">            ② 코스닥시장</t>
  </si>
  <si>
    <t xml:space="preserve">            ③ 파생상품시장</t>
  </si>
  <si>
    <t xml:space="preserve">            ④ 외화증권수탁</t>
  </si>
  <si>
    <t xml:space="preserve">            ⑤ 채권장외중개</t>
  </si>
  <si>
    <t xml:space="preserve">            ⑥ 전자장외증권시장</t>
  </si>
  <si>
    <t xml:space="preserve">            ⑦ 해외파생상품</t>
  </si>
  <si>
    <t xml:space="preserve">            ⑧ 기타</t>
  </si>
  <si>
    <t xml:space="preserve">        2) 인수 및 주선수수료</t>
  </si>
  <si>
    <t xml:space="preserve">            ① 원화증권</t>
  </si>
  <si>
    <t xml:space="preserve">            ② 외화증권</t>
  </si>
  <si>
    <t xml:space="preserve">        3) 사채모집수탁수수료</t>
  </si>
  <si>
    <t xml:space="preserve">        4) 집합투자증권취급수수료</t>
  </si>
  <si>
    <t xml:space="preserve">            ① 판매수수료</t>
  </si>
  <si>
    <t xml:space="preserve">            ② 판매보수</t>
  </si>
  <si>
    <t xml:space="preserve">        5) 자산관리수수료</t>
  </si>
  <si>
    <t xml:space="preserve">            ① 투자자문</t>
  </si>
  <si>
    <t xml:space="preserve">            ② 투자일임</t>
  </si>
  <si>
    <t xml:space="preserve">        6) 집합투자기구운용보수</t>
  </si>
  <si>
    <t xml:space="preserve">            ① 투자신탁위탁자보수</t>
  </si>
  <si>
    <t xml:space="preserve">            ② 투자회사운용수수료수익</t>
  </si>
  <si>
    <t xml:space="preserve">        7) 어음지급보증료</t>
  </si>
  <si>
    <t xml:space="preserve">        8) 매수및합병수수료</t>
  </si>
  <si>
    <t xml:space="preserve">            ① 평가수수료</t>
  </si>
  <si>
    <t xml:space="preserve">            ② 매수합병중개수수료</t>
  </si>
  <si>
    <t xml:space="preserve">            ③ 구조조정및금융상담수수료</t>
  </si>
  <si>
    <t xml:space="preserve">        9) 파생결합증권판매수수료</t>
  </si>
  <si>
    <t xml:space="preserve">            ① 주가연계증권</t>
  </si>
  <si>
    <t xml:space="preserve">            ② 주식워런트증권</t>
  </si>
  <si>
    <t xml:space="preserve">        10) 신탁보수</t>
  </si>
  <si>
    <t xml:space="preserve">            ① 금전신탁</t>
  </si>
  <si>
    <t xml:space="preserve">            ② 토지신탁</t>
  </si>
  <si>
    <t xml:space="preserve">            ③ 관리신탁</t>
  </si>
  <si>
    <t xml:space="preserve">            ④ 처분신탁</t>
  </si>
  <si>
    <t xml:space="preserve">            ⑤ 담보신탁</t>
  </si>
  <si>
    <t xml:space="preserve">            ⑥ 분양관리신탁</t>
  </si>
  <si>
    <t xml:space="preserve">            ⑦ 기타</t>
  </si>
  <si>
    <t xml:space="preserve">        11) 온라인소액투자중개 수수료</t>
  </si>
  <si>
    <t xml:space="preserve">            ① 지분증권</t>
  </si>
  <si>
    <t xml:space="preserve">            ② 채무증권</t>
  </si>
  <si>
    <t xml:space="preserve">            ③ 투자계약증권</t>
  </si>
  <si>
    <t xml:space="preserve">        12) 채무보증 관련 수수료</t>
  </si>
  <si>
    <t xml:space="preserve">            ① 채무보증수수료</t>
  </si>
  <si>
    <t xml:space="preserve">            ② 인수 및 주선 수수료</t>
  </si>
  <si>
    <t xml:space="preserve">            ③ 금융자문 수수료</t>
  </si>
  <si>
    <t xml:space="preserve">        13) 송금수수료</t>
  </si>
  <si>
    <t xml:space="preserve">        14) 대리업무보수</t>
  </si>
  <si>
    <t xml:space="preserve">        15) 기타</t>
  </si>
  <si>
    <t xml:space="preserve">    2.증권평가 및 처분이익</t>
  </si>
  <si>
    <t xml:space="preserve">        1) 당기손익-공정가치측정증권처분이익</t>
  </si>
  <si>
    <t xml:space="preserve">            ① 주식처분이익</t>
  </si>
  <si>
    <t xml:space="preserve">            ② 신주인수권증서처분이익</t>
  </si>
  <si>
    <t xml:space="preserve">            ③ 채권처분이익</t>
  </si>
  <si>
    <t xml:space="preserve">            ④ 집합투자증권처분이익</t>
  </si>
  <si>
    <t xml:space="preserve">            ⑤ 기업어음증권처분이익</t>
  </si>
  <si>
    <t xml:space="preserve">            ⑥ 당기손익-공정가치측정증권상환이익</t>
  </si>
  <si>
    <t xml:space="preserve">        2) 당기손익-공정가치측정증권평가이익</t>
  </si>
  <si>
    <t xml:space="preserve">            ① 주식평가이익</t>
  </si>
  <si>
    <t xml:space="preserve">            ② 신주인수권평가이익</t>
  </si>
  <si>
    <t xml:space="preserve">            ③ 채권평가이익</t>
  </si>
  <si>
    <t xml:space="preserve">            ④ 집합투자증권평가이익 </t>
  </si>
  <si>
    <t xml:space="preserve">            ⑤ 기업어음증권평가이익</t>
  </si>
  <si>
    <t xml:space="preserve">            ⑥ 기타</t>
  </si>
  <si>
    <t xml:space="preserve">        3) 기타포괄손익-공정가치측정증권처분이익</t>
  </si>
  <si>
    <t xml:space="preserve">            ① 채권처분이익</t>
  </si>
  <si>
    <t xml:space="preserve">            ② 집합투자증권처분이익</t>
  </si>
  <si>
    <t xml:space="preserve">            ③ 기업어음증권처분이익</t>
  </si>
  <si>
    <t xml:space="preserve">            ④ 기타포괄손익-공정가치측정증권상환이익</t>
  </si>
  <si>
    <t xml:space="preserve">            ⑤ 기타</t>
  </si>
  <si>
    <t xml:space="preserve">        4) 상각후원가측정증권처분이익</t>
  </si>
  <si>
    <t xml:space="preserve">            ① 채권매매이익</t>
  </si>
  <si>
    <t xml:space="preserve">            ② 채권상환이익</t>
  </si>
  <si>
    <t xml:space="preserve">        5) 증권 대손충당금환입액</t>
  </si>
  <si>
    <t xml:space="preserve">            ① 기타포괄손익-공정가치측정증권 대손충당금환입액</t>
  </si>
  <si>
    <t xml:space="preserve">            ② 상각후원가측정증권 대손충당금환입액</t>
  </si>
  <si>
    <t xml:space="preserve">        6) 매도증권평가이익</t>
  </si>
  <si>
    <t xml:space="preserve">            ② 채권평가이익</t>
  </si>
  <si>
    <t xml:space="preserve">        7) 파생결합증권처분이익</t>
  </si>
  <si>
    <t xml:space="preserve">        8) 파생결합증권평가이익</t>
  </si>
  <si>
    <t xml:space="preserve">        9) 파생결합증권상환이익</t>
  </si>
  <si>
    <t xml:space="preserve">        10) 매도파생결합증권평가이익</t>
  </si>
  <si>
    <t xml:space="preserve">            ① 매도주가연계증권</t>
  </si>
  <si>
    <t xml:space="preserve">            ② 매도주식워런트증권</t>
  </si>
  <si>
    <t xml:space="preserve">        11) 매도파생결합증권상환이익</t>
  </si>
  <si>
    <t xml:space="preserve">    3. 파생상품 관련 이익</t>
  </si>
  <si>
    <t xml:space="preserve">        1) 파생상품거래이익</t>
  </si>
  <si>
    <t xml:space="preserve">            ① 이자율관련거래이익</t>
  </si>
  <si>
    <t xml:space="preserve">            ② 통화관련거래이익</t>
  </si>
  <si>
    <t xml:space="preserve">            ③ 주식관련거래이익</t>
  </si>
  <si>
    <t xml:space="preserve">            ④ 신용관련거래이익</t>
  </si>
  <si>
    <t xml:space="preserve">            ⑤ 상품관련거래이익</t>
  </si>
  <si>
    <t xml:space="preserve">            ⑥ 기타파생상품관련거래이익</t>
  </si>
  <si>
    <t xml:space="preserve">        2) 파생상품평가이익</t>
  </si>
  <si>
    <t xml:space="preserve">            ① 이자율관련평가이익</t>
  </si>
  <si>
    <t xml:space="preserve">            ② 통화관련평가이익</t>
  </si>
  <si>
    <t xml:space="preserve">            ③ 주식관련평가이익</t>
  </si>
  <si>
    <t xml:space="preserve">            ④ 신용관련평가이익</t>
  </si>
  <si>
    <t xml:space="preserve">            ⑤ 상품관련평가이익</t>
  </si>
  <si>
    <t xml:space="preserve">            ⑥ 기타파생상품관련평가이익</t>
  </si>
  <si>
    <t xml:space="preserve">    4. 이자수익</t>
  </si>
  <si>
    <t xml:space="preserve">        1) 신용공여이자</t>
  </si>
  <si>
    <t xml:space="preserve">            ① 신용거래융자이자</t>
  </si>
  <si>
    <t xml:space="preserve">            ② 주식청약자금대출이자</t>
  </si>
  <si>
    <t xml:space="preserve">            ③ 증권매입자금대출이자</t>
  </si>
  <si>
    <t xml:space="preserve">            ④ 예탁증권담보대출이자</t>
  </si>
  <si>
    <t xml:space="preserve">        2) 매입대출채권이자</t>
  </si>
  <si>
    <t xml:space="preserve">        3) 대출금이자</t>
  </si>
  <si>
    <t xml:space="preserve">        4) 할인어음이자</t>
  </si>
  <si>
    <t xml:space="preserve">        5) 채권이자</t>
  </si>
  <si>
    <t xml:space="preserve">        6) 차주매각대금이용료</t>
  </si>
  <si>
    <t xml:space="preserve">        7) 기업어음증권이자</t>
  </si>
  <si>
    <t xml:space="preserve">        8) 증금예치금이자</t>
  </si>
  <si>
    <t xml:space="preserve">        9) 양도성예금증서이자</t>
  </si>
  <si>
    <t xml:space="preserve">        10) 금융기관예치금이자</t>
  </si>
  <si>
    <t xml:space="preserve">        11) 콜론이자</t>
  </si>
  <si>
    <t xml:space="preserve">        12) 환매조건부매수이자</t>
  </si>
  <si>
    <t xml:space="preserve">        13) 양도성예금증서거래이익</t>
  </si>
  <si>
    <t xml:space="preserve">        14) 대지급금이자</t>
  </si>
  <si>
    <t xml:space="preserve">        15) 예금이자</t>
  </si>
  <si>
    <t xml:space="preserve">        16) 미수금이자</t>
  </si>
  <si>
    <t xml:space="preserve">        17) 신탁계정대이자</t>
  </si>
  <si>
    <t xml:space="preserve">        18) 종금계정대이자</t>
  </si>
  <si>
    <t xml:space="preserve">    5.대출채권 관련 이익</t>
  </si>
  <si>
    <t xml:space="preserve">        1) 대출채권매각이익</t>
  </si>
  <si>
    <t xml:space="preserve">        2) 대출채권평가이익</t>
  </si>
  <si>
    <t xml:space="preserve">        3) 대손충당금환입</t>
  </si>
  <si>
    <t xml:space="preserve">        4) 기타 </t>
  </si>
  <si>
    <t xml:space="preserve">    6.외환거래이익</t>
  </si>
  <si>
    <t xml:space="preserve">        1) 외환차익</t>
  </si>
  <si>
    <t xml:space="preserve">        2) 외화환산이익</t>
  </si>
  <si>
    <t xml:space="preserve">    7. 기타의 영업수익</t>
  </si>
  <si>
    <t xml:space="preserve">            ① CMA할인어음이자</t>
  </si>
  <si>
    <t xml:space="preserve">            ② 기타</t>
  </si>
  <si>
    <t xml:space="preserve">            ① 금융리스이자</t>
  </si>
  <si>
    <t xml:space="preserve">            ② 운용리스료수입</t>
  </si>
  <si>
    <t xml:space="preserve">            ③ 리스자산처분이익</t>
  </si>
  <si>
    <t xml:space="preserve">            ① 채무보증충당금환입</t>
  </si>
  <si>
    <t xml:space="preserve">            ② 복구충당부채환입</t>
  </si>
  <si>
    <t xml:space="preserve">            ③ 신탁위험충당금환입</t>
  </si>
  <si>
    <t xml:space="preserve">    8. 기타당기손익-공정가치측정금융상품 관련 이익</t>
  </si>
  <si>
    <t xml:space="preserve">        1) 기타금융자산처분이익</t>
  </si>
  <si>
    <t xml:space="preserve">            ① 예치금처분이익</t>
  </si>
  <si>
    <t xml:space="preserve">        2) 기타금융자산평가이익</t>
  </si>
  <si>
    <t xml:space="preserve">            ① 예치금평가이익</t>
  </si>
  <si>
    <t xml:space="preserve">        3) 기타금융부채처분이익</t>
  </si>
  <si>
    <t xml:space="preserve">            ① 예수부채처분이익</t>
  </si>
  <si>
    <t xml:space="preserve">            ② 차입부채처분이익</t>
  </si>
  <si>
    <t xml:space="preserve">        4) 기타금융부채평가이익</t>
  </si>
  <si>
    <t xml:space="preserve">            ① 예수부채평가이익</t>
  </si>
  <si>
    <t xml:space="preserve">            ② 차입부채평가이익</t>
  </si>
  <si>
    <t xml:space="preserve">        5) 기타금융자산손상차손환입</t>
  </si>
  <si>
    <t>Ⅱ. 영업비용</t>
  </si>
  <si>
    <t xml:space="preserve">    1. 수수료비용</t>
  </si>
  <si>
    <t xml:space="preserve">        1) 매매수수료</t>
  </si>
  <si>
    <t xml:space="preserve">            ① 국내분</t>
  </si>
  <si>
    <t xml:space="preserve">            ② 해외분</t>
  </si>
  <si>
    <t xml:space="preserve">        2) 투자상담사수수료</t>
  </si>
  <si>
    <t xml:space="preserve">        3) 투자자문수수료</t>
  </si>
  <si>
    <t xml:space="preserve">        4) 투자일임수수료</t>
  </si>
  <si>
    <t xml:space="preserve">        5) 운용위탁수수료</t>
  </si>
  <si>
    <t xml:space="preserve">    2. 증권평가 및 처분손실</t>
  </si>
  <si>
    <t xml:space="preserve">        1) 당기손익-공정가치측정증권처분손실</t>
  </si>
  <si>
    <t xml:space="preserve">            ① 주식처분손실</t>
  </si>
  <si>
    <t xml:space="preserve">            ② 신주인수권증서처분손실</t>
  </si>
  <si>
    <t xml:space="preserve">            ③ 채권처분손실</t>
  </si>
  <si>
    <t xml:space="preserve">            ④ 집합투자증권처분손실</t>
  </si>
  <si>
    <t xml:space="preserve">            ⑤ 기업어음증권처분손실</t>
  </si>
  <si>
    <t xml:space="preserve">            ⑥ 당기손익-공정가치측정증권상환손실</t>
  </si>
  <si>
    <t xml:space="preserve">        2) 당기손익-공정가치측정증권평가손실</t>
  </si>
  <si>
    <t xml:space="preserve">            ① 주식평가손실</t>
  </si>
  <si>
    <t xml:space="preserve">            ② 신주인수권평가손실</t>
  </si>
  <si>
    <t xml:space="preserve">            ③ 채권평가손실</t>
  </si>
  <si>
    <t xml:space="preserve">            ④ 집합투자증권평가손실</t>
  </si>
  <si>
    <t xml:space="preserve">            ⑤ 기업어음증권평가손실</t>
  </si>
  <si>
    <t xml:space="preserve">        3) 기타포괄손익-공정가치측정증권처분손실</t>
  </si>
  <si>
    <t xml:space="preserve">            ① 채권처분손실</t>
  </si>
  <si>
    <t xml:space="preserve">            ② 집합투자증권처분손실</t>
  </si>
  <si>
    <t xml:space="preserve">            ③ 기업어음증권처분손실</t>
  </si>
  <si>
    <t xml:space="preserve">            ④ 기타포괄손익-공정가치측정증권상환손실</t>
  </si>
  <si>
    <t xml:space="preserve">        4) 상각후원가측정증권처분손실</t>
  </si>
  <si>
    <t xml:space="preserve">            ② 채권상환손실</t>
  </si>
  <si>
    <t xml:space="preserve">        5) 증권 대손충당금전입액</t>
  </si>
  <si>
    <t xml:space="preserve">            ① 기타포괄손익-공정가치측정증권 대손충당금전입액</t>
  </si>
  <si>
    <t xml:space="preserve">            ② 상각후원가측정증권 대손충당금전입액</t>
  </si>
  <si>
    <t xml:space="preserve">        6) 매도증권평가손실</t>
  </si>
  <si>
    <t xml:space="preserve">            ② 채권평가손실</t>
  </si>
  <si>
    <t xml:space="preserve">        7) 파생결합증권처분손실</t>
  </si>
  <si>
    <t xml:space="preserve">        8) 파생결합증권평가손실</t>
  </si>
  <si>
    <t xml:space="preserve">        9) 파생결합증권상환손실</t>
  </si>
  <si>
    <t xml:space="preserve">        10) 매도파생결합증권평가손실</t>
  </si>
  <si>
    <t xml:space="preserve">        11) 매도파생결합증권상환손실</t>
  </si>
  <si>
    <t xml:space="preserve">    3. 파생상품 관련 손실</t>
  </si>
  <si>
    <t xml:space="preserve">        1) 파생상품거래손실</t>
  </si>
  <si>
    <t xml:space="preserve">            ① 이자율관련거래손실</t>
  </si>
  <si>
    <t xml:space="preserve">            ② 통화관련거래손실</t>
  </si>
  <si>
    <t xml:space="preserve">            ③ 주식관련거래손실</t>
  </si>
  <si>
    <t xml:space="preserve">            ④ 신용관련거래손실</t>
  </si>
  <si>
    <t xml:space="preserve">            ⑤ 상품관련거래손실</t>
  </si>
  <si>
    <t xml:space="preserve">            ⑥ 기타파생상품관련거래손실</t>
  </si>
  <si>
    <t xml:space="preserve">        2) 파생상품평가손실</t>
  </si>
  <si>
    <t xml:space="preserve">            ① 이자율관련평가손실</t>
  </si>
  <si>
    <t xml:space="preserve">            ② 통화관련평가손실</t>
  </si>
  <si>
    <t xml:space="preserve">            ③ 주식관련평가손실</t>
  </si>
  <si>
    <t xml:space="preserve">            ④ 신용관련평가손실</t>
  </si>
  <si>
    <t xml:space="preserve">            ⑤ 상품관련평가손실</t>
  </si>
  <si>
    <t xml:space="preserve">            ⑥ 기타파생상품관련평가손실</t>
  </si>
  <si>
    <t xml:space="preserve">        3) 파생상품손상차손</t>
  </si>
  <si>
    <t xml:space="preserve">    4. 이자비용</t>
  </si>
  <si>
    <t xml:space="preserve">        1) 차입금이자</t>
  </si>
  <si>
    <t xml:space="preserve">            ① 증금차입금이자</t>
  </si>
  <si>
    <t xml:space="preserve">            ② 은행차입금이자</t>
  </si>
  <si>
    <t xml:space="preserve">        2) 대주매각대금이용료</t>
  </si>
  <si>
    <t xml:space="preserve">        3) 투자자예탁금이용료</t>
  </si>
  <si>
    <t xml:space="preserve">        4) 환매조건부매도이자</t>
  </si>
  <si>
    <t xml:space="preserve">        5) 양도성예금증서 거래손실</t>
  </si>
  <si>
    <t xml:space="preserve">        6) 콜머니이자</t>
  </si>
  <si>
    <t xml:space="preserve">        7) 사채이자</t>
  </si>
  <si>
    <t xml:space="preserve">        8) 발행어음이자</t>
  </si>
  <si>
    <t xml:space="preserve">        9) 신탁계정차이자</t>
  </si>
  <si>
    <t xml:space="preserve">    5. 대출채권 관련 손실</t>
  </si>
  <si>
    <t xml:space="preserve">        1) 대출채권매각손실</t>
  </si>
  <si>
    <t xml:space="preserve">        2) 대출채권평가손실</t>
  </si>
  <si>
    <t xml:space="preserve">        3) 대손상각비</t>
  </si>
  <si>
    <t xml:space="preserve">    6. 외환거래손실</t>
  </si>
  <si>
    <t xml:space="preserve">        1) 외환차손</t>
  </si>
  <si>
    <t xml:space="preserve">        2) 외화환산손실</t>
  </si>
  <si>
    <t xml:space="preserve">    7. 판매비와관리비</t>
  </si>
  <si>
    <t xml:space="preserve">        1) 급여</t>
  </si>
  <si>
    <t xml:space="preserve">            ① 임원</t>
  </si>
  <si>
    <t xml:space="preserve">            ② 직원</t>
  </si>
  <si>
    <t xml:space="preserve">        2) 퇴직급여</t>
  </si>
  <si>
    <t xml:space="preserve">                (확정기여형)</t>
  </si>
  <si>
    <t xml:space="preserve">                (확정급여형)</t>
  </si>
  <si>
    <t xml:space="preserve">        3) 명예퇴직금</t>
  </si>
  <si>
    <t xml:space="preserve">        4) 복리후생비</t>
  </si>
  <si>
    <t xml:space="preserve">        5) 전산운용비</t>
  </si>
  <si>
    <t xml:space="preserve">        6) 임차료</t>
  </si>
  <si>
    <t xml:space="preserve">        7) 지급수수료</t>
  </si>
  <si>
    <t xml:space="preserve">        8) 접대비</t>
  </si>
  <si>
    <t xml:space="preserve">        9) 광고선전비</t>
  </si>
  <si>
    <t xml:space="preserve">        10) 감가상각비</t>
  </si>
  <si>
    <t xml:space="preserve">        11) 조사연구비</t>
  </si>
  <si>
    <t xml:space="preserve">        12) 연수비</t>
  </si>
  <si>
    <t xml:space="preserve">        13) 무형자산상각비</t>
  </si>
  <si>
    <t xml:space="preserve">        14) 세금과공과금</t>
  </si>
  <si>
    <t xml:space="preserve">        15) 업무위탁수수료</t>
  </si>
  <si>
    <t xml:space="preserve">        16) 판매부대비</t>
  </si>
  <si>
    <t xml:space="preserve">        17) 발행비</t>
  </si>
  <si>
    <t xml:space="preserve">        18) 등기소송비 및 공고비</t>
  </si>
  <si>
    <t xml:space="preserve">        19) 회의비</t>
  </si>
  <si>
    <t xml:space="preserve">        20) 인쇄비</t>
  </si>
  <si>
    <t xml:space="preserve">        21) 여비교통비</t>
  </si>
  <si>
    <t xml:space="preserve">        22) 차량유지비</t>
  </si>
  <si>
    <t xml:space="preserve">        23) 소모품비</t>
  </si>
  <si>
    <t xml:space="preserve">        24) 수도광열비</t>
  </si>
  <si>
    <t xml:space="preserve">        25) 보험료</t>
  </si>
  <si>
    <t xml:space="preserve">        26) 행사비</t>
  </si>
  <si>
    <t xml:space="preserve">        27) 기타</t>
  </si>
  <si>
    <t xml:space="preserve">    8. 기타의 영업비용</t>
  </si>
  <si>
    <t xml:space="preserve">        1) 별도예치금평가손실</t>
  </si>
  <si>
    <t xml:space="preserve">        2) 리스비용(종금계정)</t>
  </si>
  <si>
    <t xml:space="preserve">            ① 리스자산 감가상각비</t>
  </si>
  <si>
    <t xml:space="preserve">            ② 리스지급수수료</t>
  </si>
  <si>
    <t xml:space="preserve">            ③ 리스자산처분손실</t>
  </si>
  <si>
    <t xml:space="preserve">            ④ 금융리스정산손실</t>
  </si>
  <si>
    <t xml:space="preserve">        3) 일반상품 처분손실</t>
  </si>
  <si>
    <t xml:space="preserve">        4) 일반상품 평가손실</t>
  </si>
  <si>
    <t xml:space="preserve">        5) 충당금전입액</t>
  </si>
  <si>
    <t xml:space="preserve">            ① 채무보증충당금전입액</t>
  </si>
  <si>
    <t xml:space="preserve">            ② 복구충당부채전입액</t>
  </si>
  <si>
    <t xml:space="preserve">            ③ 신탁위험충당금전입액</t>
  </si>
  <si>
    <t xml:space="preserve">        6) 기타대손상각비</t>
  </si>
  <si>
    <t xml:space="preserve">        7) 파생결합증권신용위험평가조정전입</t>
  </si>
  <si>
    <t xml:space="preserve">        8) 파생상품신용위험평가조정전입</t>
  </si>
  <si>
    <t xml:space="preserve">        9) 파생결합증권거래일손익인식평가조정전입</t>
  </si>
  <si>
    <t xml:space="preserve">        10) 파생상품거래일손익인식평가조정전입</t>
  </si>
  <si>
    <t xml:space="preserve">    9. 기타당기손익-공정가치측정금융상품 관련 손실</t>
  </si>
  <si>
    <t xml:space="preserve">        1) 기타금융자산처분손실</t>
  </si>
  <si>
    <t xml:space="preserve">            ① 예치금처분손실</t>
  </si>
  <si>
    <t xml:space="preserve">        2) 기타금융자산평가손실</t>
  </si>
  <si>
    <t xml:space="preserve">            ① 예치금평가손실</t>
  </si>
  <si>
    <t xml:space="preserve">        3) 기타금융부채처분손실</t>
  </si>
  <si>
    <t xml:space="preserve">            ① 예수부채처분손실</t>
  </si>
  <si>
    <t xml:space="preserve">            ② 차입부채처분손실</t>
  </si>
  <si>
    <t xml:space="preserve">        4) 기타금융부채평가손실</t>
  </si>
  <si>
    <t xml:space="preserve">            ① 예수부채평가손실</t>
  </si>
  <si>
    <t xml:space="preserve">            ② 차입부채평가손실</t>
  </si>
  <si>
    <t xml:space="preserve">        5) 기타금융자산손상차손</t>
  </si>
  <si>
    <t>Ⅲ. 영업이익(손실)</t>
  </si>
  <si>
    <t>Ⅳ. 영업외수익</t>
  </si>
  <si>
    <t xml:space="preserve">    1. 유형자산처분이익</t>
  </si>
  <si>
    <t xml:space="preserve">    2. 투자부동산처분이익</t>
  </si>
  <si>
    <t xml:space="preserve">    3. 임대료</t>
  </si>
  <si>
    <t xml:space="preserve">    4. 지분법이익</t>
  </si>
  <si>
    <t xml:space="preserve">    5. 지분법적용투자주식처분이익</t>
  </si>
  <si>
    <t xml:space="preserve">    6. 지분법적용투자주식손상차손환입</t>
  </si>
  <si>
    <t xml:space="preserve">    7. 관계회사투자지분처분이익</t>
  </si>
  <si>
    <t>Ⅴ. 영업외비용</t>
  </si>
  <si>
    <t xml:space="preserve">    1. 유형자산처분손실</t>
  </si>
  <si>
    <t xml:space="preserve">    2. 투자부동산처분손실</t>
  </si>
  <si>
    <t xml:space="preserve">    3. 지분법손실 </t>
  </si>
  <si>
    <t xml:space="preserve">    4. 지분법적용투자주식처분손실</t>
  </si>
  <si>
    <t xml:space="preserve">    5. 지분법적용투자주식손상차손</t>
  </si>
  <si>
    <t xml:space="preserve">    6. 관계회사투자지분처분손실</t>
  </si>
  <si>
    <t>Ⅵ. 법인세비용차감전계속사업손익</t>
  </si>
  <si>
    <t>Ⅶ. 계속사업손익 법인세비용</t>
  </si>
  <si>
    <t>Ⅷ. 계속사업이익(손실)</t>
  </si>
  <si>
    <t>Ⅸ. 중단사업손익</t>
  </si>
  <si>
    <t>Ⅹ. 당기순이익(손실)</t>
  </si>
  <si>
    <t xml:space="preserve">    (대손준비금적립액)</t>
  </si>
  <si>
    <t xml:space="preserve">    (대손준비금적립후 당기순이익)</t>
  </si>
  <si>
    <t>ⅩⅠ.기타포괄손익</t>
  </si>
  <si>
    <t xml:space="preserve">    5. 현금흐름위험회피 파생상품평가손익</t>
  </si>
  <si>
    <t xml:space="preserve">    6. 외환차이</t>
  </si>
  <si>
    <t xml:space="preserve">    9. 기타포괄손익에 대한 법인세효과</t>
  </si>
  <si>
    <t>ⅩⅡ. 총포괄이익(손실)</t>
  </si>
  <si>
    <t>마.각주사항</t>
  </si>
  <si>
    <t>Ⅰ. 채무보증</t>
  </si>
  <si>
    <t xml:space="preserve">    1. 지급보증</t>
  </si>
  <si>
    <t xml:space="preserve">        ① 사채지급보증</t>
  </si>
  <si>
    <t xml:space="preserve">        ② 자회사채무보증</t>
  </si>
  <si>
    <t xml:space="preserve">        ③ 신용파생상품</t>
  </si>
  <si>
    <t xml:space="preserve">        ④ 기타지급보증</t>
  </si>
  <si>
    <t xml:space="preserve">        ⑤ 어음지급보증(종금계정)</t>
  </si>
  <si>
    <t xml:space="preserve">        ⑥ 기타지급보증(종금계정)</t>
  </si>
  <si>
    <t xml:space="preserve">    2. 매입보장약정</t>
  </si>
  <si>
    <t xml:space="preserve">    3. 채무인수약정 </t>
  </si>
  <si>
    <t xml:space="preserve">    4. 매입확약</t>
  </si>
  <si>
    <t xml:space="preserve">        ① 대출확약</t>
  </si>
  <si>
    <t xml:space="preserve">        ② 증권인수확약</t>
  </si>
  <si>
    <t xml:space="preserve">        ③ 한도대출약정</t>
  </si>
  <si>
    <t>Ⅱ. 투자자의 예수증권 등</t>
  </si>
  <si>
    <t xml:space="preserve">    1. 예수 증권</t>
  </si>
  <si>
    <t xml:space="preserve">        ① 위탁자증권</t>
  </si>
  <si>
    <t xml:space="preserve">        ② 저축자증권</t>
  </si>
  <si>
    <t xml:space="preserve">        ③ 수익자증권</t>
  </si>
  <si>
    <t xml:space="preserve">        ④ 기타예수증권</t>
  </si>
  <si>
    <t xml:space="preserve">    2. 예수양도성예금증서</t>
  </si>
  <si>
    <t xml:space="preserve">    3. 기타</t>
  </si>
  <si>
    <t>Ⅲ. 파생상품계약</t>
  </si>
  <si>
    <t xml:space="preserve">    1. 장내파생상품</t>
  </si>
  <si>
    <t xml:space="preserve">        1) 이자율관련거래</t>
  </si>
  <si>
    <t xml:space="preserve">            ① 이자율선물</t>
  </si>
  <si>
    <t xml:space="preserve">            ② 이자율옵션</t>
  </si>
  <si>
    <t xml:space="preserve">                가. 매입이자율옵션</t>
  </si>
  <si>
    <t xml:space="preserve">                나. 매도이자율옵션</t>
  </si>
  <si>
    <t xml:space="preserve">        2) 통화관련거래</t>
  </si>
  <si>
    <t xml:space="preserve">            ① 통화선물</t>
  </si>
  <si>
    <t xml:space="preserve">            ② 통화옵션</t>
  </si>
  <si>
    <t xml:space="preserve">                가. 매입통화옵션</t>
  </si>
  <si>
    <t xml:space="preserve">                나. 매도통화옵션</t>
  </si>
  <si>
    <t xml:space="preserve">        3) 주식관련거래</t>
  </si>
  <si>
    <t xml:space="preserve">            ① 주식선물</t>
  </si>
  <si>
    <t xml:space="preserve">            ② 주식옵션</t>
  </si>
  <si>
    <t xml:space="preserve">                가. 매입주식옵션</t>
  </si>
  <si>
    <t xml:space="preserve">                나. 매도주식옵션</t>
  </si>
  <si>
    <t xml:space="preserve">        4) 일반상품관련거래</t>
  </si>
  <si>
    <t xml:space="preserve">            ① 일반상품선물</t>
  </si>
  <si>
    <t xml:space="preserve">            ② 일반상품옵션</t>
  </si>
  <si>
    <t xml:space="preserve">                가. 매입일반상품옵션</t>
  </si>
  <si>
    <t xml:space="preserve">                나. 매도일반상품옵션</t>
  </si>
  <si>
    <t xml:space="preserve">            ① 기타선물</t>
  </si>
  <si>
    <t xml:space="preserve">            ② 기타옵션</t>
  </si>
  <si>
    <t xml:space="preserve">                가. 매입기타옵션</t>
  </si>
  <si>
    <t xml:space="preserve">                나. 매도기타옵션</t>
  </si>
  <si>
    <t xml:space="preserve">    2. 장외파생상품</t>
  </si>
  <si>
    <t xml:space="preserve">            ① 이자율선도</t>
  </si>
  <si>
    <t xml:space="preserve">            ② 이자율스왑</t>
  </si>
  <si>
    <t xml:space="preserve">            ③ 이자율옵션</t>
  </si>
  <si>
    <t xml:space="preserve">            ① 통화선도</t>
  </si>
  <si>
    <t xml:space="preserve">            ② 통화스왑</t>
  </si>
  <si>
    <t xml:space="preserve">            ③ 통화옵션</t>
  </si>
  <si>
    <t xml:space="preserve">            ① 주식선도</t>
  </si>
  <si>
    <t xml:space="preserve">            ② 주식스왑</t>
  </si>
  <si>
    <t xml:space="preserve">            ③ 주식옵션</t>
  </si>
  <si>
    <t xml:space="preserve">        4) 신용관련거래</t>
  </si>
  <si>
    <t xml:space="preserve">            ① 신용스왑(CDS)</t>
  </si>
  <si>
    <t xml:space="preserve">            ② 총수익스왑(TRS)</t>
  </si>
  <si>
    <t xml:space="preserve">            ③ 신용연계증권(CLN)</t>
  </si>
  <si>
    <t xml:space="preserve">            ④ 신용옵션(CO)</t>
  </si>
  <si>
    <t xml:space="preserve">                가. 매입신용옵션</t>
  </si>
  <si>
    <t xml:space="preserve">                나. 매도신용옵션</t>
  </si>
  <si>
    <t xml:space="preserve">            ① 기타선도</t>
  </si>
  <si>
    <t xml:space="preserve">            ② 기타스왑</t>
  </si>
  <si>
    <t xml:space="preserve">            ③ 기타옵션</t>
  </si>
  <si>
    <t>Ⅳ. 대차 및 대주거래</t>
  </si>
  <si>
    <t xml:space="preserve">    1. 대여증권</t>
  </si>
  <si>
    <t xml:space="preserve">        2) 국공채</t>
  </si>
  <si>
    <t xml:space="preserve">    2. 차입증권</t>
  </si>
  <si>
    <t xml:space="preserve">    3. 신용거래대주</t>
  </si>
  <si>
    <t>Ⅴ. 대손상각채권</t>
  </si>
  <si>
    <t>Ⅵ. 환전업무 예치금</t>
  </si>
  <si>
    <t xml:space="preserve">    1. 외화예치금</t>
  </si>
  <si>
    <t xml:space="preserve">    2. 원화예치금</t>
  </si>
  <si>
    <t>Ⅶ. 미배당별도예치금</t>
  </si>
  <si>
    <t>Ⅷ 배서어음매출(종금계정)</t>
  </si>
  <si>
    <t xml:space="preserve">    1. 담보부</t>
  </si>
  <si>
    <t xml:space="preserve">    2. 무담보부</t>
  </si>
  <si>
    <t>가.자산건전성분류현황</t>
  </si>
  <si>
    <t>정상</t>
  </si>
  <si>
    <t>요주의</t>
  </si>
  <si>
    <t>고정</t>
  </si>
  <si>
    <t>회수의문</t>
  </si>
  <si>
    <t>추정손실</t>
  </si>
  <si>
    <t>콜론</t>
  </si>
  <si>
    <t>신용공여금</t>
  </si>
  <si>
    <t>환매조건부매수</t>
  </si>
  <si>
    <t>대여금</t>
  </si>
  <si>
    <t>대출금</t>
  </si>
  <si>
    <t>(부동산PF관련)</t>
  </si>
  <si>
    <t>매입대출채권</t>
  </si>
  <si>
    <t>대지급금</t>
  </si>
  <si>
    <t>부도채권</t>
  </si>
  <si>
    <t>부도어음</t>
  </si>
  <si>
    <t>사모사채</t>
  </si>
  <si>
    <t>신탁계정대</t>
  </si>
  <si>
    <t>기타 대출채권</t>
  </si>
  <si>
    <t>가지급금</t>
  </si>
  <si>
    <t>미수금</t>
  </si>
  <si>
    <t>(위탁매매미수금)</t>
  </si>
  <si>
    <t>미수수익</t>
  </si>
  <si>
    <t>채무보증</t>
  </si>
  <si>
    <t>대출금(종금)</t>
  </si>
  <si>
    <t>할인어음(종금)</t>
  </si>
  <si>
    <t>CMA운용자산(종금)</t>
  </si>
  <si>
    <t>리스자산(종금)</t>
  </si>
  <si>
    <t>(부동산PF관련계)</t>
  </si>
  <si>
    <t>금융자산(부채)</t>
  </si>
  <si>
    <t>매각예정비유동자산(부채)</t>
  </si>
  <si>
    <t>상각후원가측정부채</t>
  </si>
  <si>
    <t xml:space="preserve">    Ⅰ. 현금 및 예치금</t>
  </si>
  <si>
    <t xml:space="preserve">        1. 현금 및 현금성 자산</t>
  </si>
  <si>
    <t xml:space="preserve">            1) 현금</t>
  </si>
  <si>
    <t xml:space="preserve">            2) 정기예·적금</t>
  </si>
  <si>
    <t xml:space="preserve">            3) 보통예금</t>
  </si>
  <si>
    <t xml:space="preserve">            4) 당좌예금</t>
  </si>
  <si>
    <t xml:space="preserve">            5) 외화예금</t>
  </si>
  <si>
    <t xml:space="preserve">            6) 양도성예금증서</t>
  </si>
  <si>
    <t xml:space="preserve">            7) MMDA</t>
  </si>
  <si>
    <t xml:space="preserve">            8) MMF</t>
  </si>
  <si>
    <t xml:space="preserve">            9) 금융어음</t>
  </si>
  <si>
    <t xml:space="preserve">            10) 기타</t>
  </si>
  <si>
    <t xml:space="preserve">        2. 예치금</t>
  </si>
  <si>
    <t xml:space="preserve">            1) 청약예치금</t>
  </si>
  <si>
    <t xml:space="preserve">            2) 투자자예탁금별도예치금(예금)</t>
  </si>
  <si>
    <t xml:space="preserve">            3) 투자자예탁금별도예치금(신탁)</t>
  </si>
  <si>
    <t xml:space="preserve">            4) 대차거래이행보증금</t>
  </si>
  <si>
    <t xml:space="preserve">            5) 매매예납금 </t>
  </si>
  <si>
    <t xml:space="preserve">            6) 장내파생상품거래예치금</t>
  </si>
  <si>
    <t xml:space="preserve">            7) 장내파생상품매매증거금</t>
  </si>
  <si>
    <t xml:space="preserve">            8) 유통금융차주담보금</t>
  </si>
  <si>
    <t xml:space="preserve">            9) 유통금융담보금</t>
  </si>
  <si>
    <t xml:space="preserve">            10) 장기성예금</t>
  </si>
  <si>
    <t xml:space="preserve">            11) 특정예금 등</t>
  </si>
  <si>
    <t xml:space="preserve">            12) 신탁공탁금</t>
  </si>
  <si>
    <t xml:space="preserve">            13) 기타</t>
  </si>
  <si>
    <t xml:space="preserve">    Ⅱ. 증권</t>
  </si>
  <si>
    <t xml:space="preserve">        1. 관계회사투자지분외의 증권</t>
  </si>
  <si>
    <t xml:space="preserve">            1) 주식 </t>
  </si>
  <si>
    <t xml:space="preserve">            2) 출자금</t>
  </si>
  <si>
    <t xml:space="preserve">            3) 신주인수권증서</t>
  </si>
  <si>
    <t xml:space="preserve">            4) 국채·지방채</t>
  </si>
  <si>
    <t xml:space="preserve">            5) 특수채</t>
  </si>
  <si>
    <t xml:space="preserve">            6) 회사채</t>
  </si>
  <si>
    <t xml:space="preserve">            7) 집합투자증권</t>
  </si>
  <si>
    <t xml:space="preserve">            8) 기업어음증권</t>
  </si>
  <si>
    <t xml:space="preserve">            9) 외화증권</t>
  </si>
  <si>
    <t xml:space="preserve">                ① 외화주식</t>
  </si>
  <si>
    <t xml:space="preserve">                ② 외화채권</t>
  </si>
  <si>
    <t xml:space="preserve">                ③ 기타</t>
  </si>
  <si>
    <t xml:space="preserve">        2. 관계회사투자지분</t>
  </si>
  <si>
    <t xml:space="preserve">            1)연결대상회사 투자지분</t>
  </si>
  <si>
    <t xml:space="preserve">            2)비연결대상회사 투자지분</t>
  </si>
  <si>
    <t xml:space="preserve">        3. 파생결합증권</t>
  </si>
  <si>
    <t xml:space="preserve">            1) 주가연계증권</t>
  </si>
  <si>
    <t xml:space="preserve">            2) 주식워런트증권</t>
  </si>
  <si>
    <t xml:space="preserve">            3) 기타</t>
  </si>
  <si>
    <t xml:space="preserve">            4) 파생결합증권 신용위험평가조정액</t>
  </si>
  <si>
    <t xml:space="preserve">            5) 파생결합증권 거래일손익인식평가조정액</t>
  </si>
  <si>
    <t xml:space="preserve">    Ⅲ. 파생상품 </t>
  </si>
  <si>
    <t xml:space="preserve">        1. 이자율관련</t>
  </si>
  <si>
    <t xml:space="preserve">        2. 통화관련</t>
  </si>
  <si>
    <t xml:space="preserve">        3. 주식관련</t>
  </si>
  <si>
    <t xml:space="preserve">        4. 신용관련</t>
  </si>
  <si>
    <t xml:space="preserve">        5. 상품관련</t>
  </si>
  <si>
    <t xml:space="preserve">        6. 기타파생상품자산</t>
  </si>
  <si>
    <t xml:space="preserve">        7. 파생상품 신용위험평가조정액</t>
  </si>
  <si>
    <t xml:space="preserve">        8. 파생상품 거래일손익인식평가조정액</t>
  </si>
  <si>
    <t xml:space="preserve">    Ⅳ. 대출채권</t>
  </si>
  <si>
    <t xml:space="preserve">        (현재가치할인차금)(-)</t>
  </si>
  <si>
    <t xml:space="preserve">        (현재가치할증차금)(+)</t>
  </si>
  <si>
    <t xml:space="preserve">        (이연대출부대손익)</t>
  </si>
  <si>
    <t xml:space="preserve">        1. 콜론</t>
  </si>
  <si>
    <t xml:space="preserve">        2. 신용공여금</t>
  </si>
  <si>
    <t xml:space="preserve">            1) 신용거래융자금</t>
  </si>
  <si>
    <t xml:space="preserve">            2) 주식청약자금 대출금</t>
  </si>
  <si>
    <t xml:space="preserve">            3) 증권매입자금 대출금</t>
  </si>
  <si>
    <t xml:space="preserve">            4) 증권담보대출금</t>
  </si>
  <si>
    <t xml:space="preserve">            5) 기타</t>
  </si>
  <si>
    <t xml:space="preserve">        3. 환매조건부매수</t>
  </si>
  <si>
    <t xml:space="preserve">        4. 대여금</t>
  </si>
  <si>
    <t xml:space="preserve">        5. 대출금</t>
  </si>
  <si>
    <t xml:space="preserve">        6. 대출금(종금계정)</t>
  </si>
  <si>
    <t xml:space="preserve">        7. 할인어음(종금계정)</t>
  </si>
  <si>
    <t xml:space="preserve">        8. 매입 대출채권</t>
  </si>
  <si>
    <t xml:space="preserve">        9. 대지급금</t>
  </si>
  <si>
    <t xml:space="preserve">        10. 부도채권</t>
  </si>
  <si>
    <t xml:space="preserve">        11. 부도어음</t>
  </si>
  <si>
    <t xml:space="preserve">        12. 사모사채</t>
  </si>
  <si>
    <t xml:space="preserve">        13. 신탁계정대</t>
  </si>
  <si>
    <t xml:space="preserve">        14. 종금계정대</t>
  </si>
  <si>
    <t xml:space="preserve">        15. 기타 대출채권</t>
  </si>
  <si>
    <t xml:space="preserve">        16. 대손충당금(-)</t>
  </si>
  <si>
    <t xml:space="preserve">            1) 콜론대손충당금</t>
  </si>
  <si>
    <t xml:space="preserve">            2) 신용공여금대손충당금</t>
  </si>
  <si>
    <t xml:space="preserve">            3) 환매조건부매수대손충당금</t>
  </si>
  <si>
    <t xml:space="preserve">            4) 대여금대손충당금</t>
  </si>
  <si>
    <t xml:space="preserve">            5) 대출금대손충당금</t>
  </si>
  <si>
    <t xml:space="preserve">            6) 대출금(종금계정)대손충당금</t>
  </si>
  <si>
    <t xml:space="preserve">            7) 할인어음(종금계정) 대손충당금</t>
  </si>
  <si>
    <t xml:space="preserve">            8) 매입대출채권 대손충당금</t>
  </si>
  <si>
    <t xml:space="preserve">            9) 대지급금대손충당금</t>
  </si>
  <si>
    <t xml:space="preserve">            10) 부도채권 대손충당금</t>
  </si>
  <si>
    <t xml:space="preserve">            11) 부도어음 대손충당금</t>
  </si>
  <si>
    <t xml:space="preserve">            12) 사모사채 대손충당금</t>
  </si>
  <si>
    <t xml:space="preserve">            13) 신탁계정대 대손충당금</t>
  </si>
  <si>
    <t xml:space="preserve">            14) 종금계정대 대손충당금</t>
  </si>
  <si>
    <t xml:space="preserve">            15) 기타 대손충당금</t>
  </si>
  <si>
    <t xml:space="preserve">    Ⅴ. 유형자산</t>
  </si>
  <si>
    <t xml:space="preserve">        1. 토지</t>
  </si>
  <si>
    <t xml:space="preserve">        2. 건물</t>
  </si>
  <si>
    <t xml:space="preserve">        3. 구축물</t>
  </si>
  <si>
    <t xml:space="preserve">        4. 차량운반구</t>
  </si>
  <si>
    <t xml:space="preserve">        5. 비품</t>
  </si>
  <si>
    <t xml:space="preserve">        6. 건설중인자산</t>
  </si>
  <si>
    <t xml:space="preserve">        7. 운용리스자산(종금계정)</t>
  </si>
  <si>
    <t xml:space="preserve">        8. 선급리스자산(종금계정)</t>
  </si>
  <si>
    <t xml:space="preserve">        9. 기타</t>
  </si>
  <si>
    <t xml:space="preserve">        10. 감가상각누계액(-)</t>
  </si>
  <si>
    <t xml:space="preserve">        11. 감가상각누계액(종금계정)(-)</t>
  </si>
  <si>
    <t xml:space="preserve">        12. 처분손실충당금(종금계정)(-)</t>
  </si>
  <si>
    <t xml:space="preserve">    Ⅵ. CMA운용자산(종금계정)</t>
  </si>
  <si>
    <t xml:space="preserve">        1. CMA 현금과예금</t>
  </si>
  <si>
    <t xml:space="preserve">        2. CMA 증권</t>
  </si>
  <si>
    <t xml:space="preserve">        3. CMA 할인어음</t>
  </si>
  <si>
    <t xml:space="preserve">        4. CMA 기타</t>
  </si>
  <si>
    <t xml:space="preserve">        5. 대손충당금(종금계정)(-)</t>
  </si>
  <si>
    <t xml:space="preserve">    Ⅶ. 리스자산(종금계정)</t>
  </si>
  <si>
    <t xml:space="preserve">        1. 금융리스채권</t>
  </si>
  <si>
    <t xml:space="preserve">        2. 기타</t>
  </si>
  <si>
    <t xml:space="preserve">        3. 대손충당금(종금계정)(-)</t>
  </si>
  <si>
    <t xml:space="preserve">    Ⅷ. 기타자산 </t>
  </si>
  <si>
    <t xml:space="preserve">        1. 미수금</t>
  </si>
  <si>
    <t xml:space="preserve">            1) 자기매매미수금</t>
  </si>
  <si>
    <t xml:space="preserve">            2) 위탁매매미수금</t>
  </si>
  <si>
    <t xml:space="preserve">            3) 신탁보수미수금</t>
  </si>
  <si>
    <t xml:space="preserve">            4) 기타</t>
  </si>
  <si>
    <t xml:space="preserve">        2. 미수수익</t>
  </si>
  <si>
    <t xml:space="preserve">            1) 미수수수료</t>
  </si>
  <si>
    <t xml:space="preserve">            2) 미수이자</t>
  </si>
  <si>
    <t xml:space="preserve">            3) 미수배당금</t>
  </si>
  <si>
    <t xml:space="preserve">            4) 미수분배금</t>
  </si>
  <si>
    <t xml:space="preserve">        3. 선급금</t>
  </si>
  <si>
    <t xml:space="preserve">            1) 채권경과이자</t>
  </si>
  <si>
    <t xml:space="preserve">            2) 수익증권경과분배금</t>
  </si>
  <si>
    <t xml:space="preserve">            3) 양도성예금증서경과이자</t>
  </si>
  <si>
    <t xml:space="preserve">        4. 선급비용</t>
  </si>
  <si>
    <t xml:space="preserve">        5. 선급제세</t>
  </si>
  <si>
    <t xml:space="preserve">        6. 대리점</t>
  </si>
  <si>
    <t xml:space="preserve">        7. 본·지점</t>
  </si>
  <si>
    <t xml:space="preserve">        8. 선물자기거래정산차금</t>
  </si>
  <si>
    <t xml:space="preserve">        9. 보증금</t>
  </si>
  <si>
    <t xml:space="preserve">        10. 투자부동산</t>
  </si>
  <si>
    <t xml:space="preserve">        11. 손해배상공동기금</t>
  </si>
  <si>
    <t xml:space="preserve">        12. 무형자산</t>
  </si>
  <si>
    <t xml:space="preserve">            (손상차손누계액)</t>
  </si>
  <si>
    <t xml:space="preserve">        13. 가지급금</t>
  </si>
  <si>
    <t xml:space="preserve">        14. 이연법인세자산</t>
  </si>
  <si>
    <t xml:space="preserve">        15. 일반상품</t>
  </si>
  <si>
    <t xml:space="preserve">        16. 기타</t>
  </si>
  <si>
    <t xml:space="preserve">        17. 대손충당금(-)</t>
  </si>
  <si>
    <t xml:space="preserve">            1) 미수금대손충당금</t>
  </si>
  <si>
    <t xml:space="preserve">            2) 미수수익대손충당금</t>
  </si>
  <si>
    <t xml:space="preserve">                ① 미수수수료대손충당금</t>
  </si>
  <si>
    <t xml:space="preserve">                ② 미수이자대손충당금</t>
  </si>
  <si>
    <t xml:space="preserve">                ③ 기타대손충당금</t>
  </si>
  <si>
    <t xml:space="preserve">            3) 선급금대손충당금</t>
  </si>
  <si>
    <t xml:space="preserve">            4) 기타대손충당금</t>
  </si>
  <si>
    <t xml:space="preserve">    Ⅰ. 예수부채</t>
  </si>
  <si>
    <t xml:space="preserve">        1. 투자자예수금</t>
  </si>
  <si>
    <t xml:space="preserve">        2. 수입담보금</t>
  </si>
  <si>
    <t xml:space="preserve">        3. 리스보증금(종금계정)</t>
  </si>
  <si>
    <t xml:space="preserve">        4. CMA수탁금(종금계정)</t>
  </si>
  <si>
    <t xml:space="preserve">        5. 기타</t>
  </si>
  <si>
    <t xml:space="preserve">    Ⅱ. 차입부채</t>
  </si>
  <si>
    <t xml:space="preserve">        1. 콜머니</t>
  </si>
  <si>
    <t xml:space="preserve">        2. 차입금</t>
  </si>
  <si>
    <t xml:space="preserve">            1) 당좌차월</t>
  </si>
  <si>
    <t xml:space="preserve">            2) 은행차입금</t>
  </si>
  <si>
    <t xml:space="preserve">            3) 증금차입금</t>
  </si>
  <si>
    <t xml:space="preserve">            4) 외화차입금</t>
  </si>
  <si>
    <t xml:space="preserve">        3. 환매조건부매도</t>
  </si>
  <si>
    <t xml:space="preserve">        4. 매도증권</t>
  </si>
  <si>
    <t xml:space="preserve">            1) 주식</t>
  </si>
  <si>
    <t xml:space="preserve">            2) 국채·지방채</t>
  </si>
  <si>
    <t xml:space="preserve">            3) 특수채</t>
  </si>
  <si>
    <t xml:space="preserve">            4) 회사채</t>
  </si>
  <si>
    <t xml:space="preserve">        5. 매도파생결합증권</t>
  </si>
  <si>
    <t xml:space="preserve">            1) 매도주가연계증권</t>
  </si>
  <si>
    <t xml:space="preserve">            2) 매도주식워런트증권</t>
  </si>
  <si>
    <t xml:space="preserve">            4) 매도파생결합증권 신용위험평가조정액</t>
  </si>
  <si>
    <t xml:space="preserve">            5) 매도파생결합증권 거래일손익인식평가조정액</t>
  </si>
  <si>
    <t xml:space="preserve">        6. 사채</t>
  </si>
  <si>
    <t xml:space="preserve">            (사채발행차금)</t>
  </si>
  <si>
    <t xml:space="preserve">            1) 전자단기사채</t>
  </si>
  <si>
    <t xml:space="preserve">            2) 전자단기사채 이외</t>
  </si>
  <si>
    <t xml:space="preserve">        7. 후순위사채</t>
  </si>
  <si>
    <t xml:space="preserve">        8. 후순위차입금</t>
  </si>
  <si>
    <t xml:space="preserve">        9. 발행어음(종금계정)</t>
  </si>
  <si>
    <t xml:space="preserve">        10. 발행어음(종합금융투자사업자)</t>
  </si>
  <si>
    <t xml:space="preserve">        11. 기타</t>
  </si>
  <si>
    <t xml:space="preserve">        6. 기타파생상품부채</t>
  </si>
  <si>
    <t xml:space="preserve">    Ⅳ. 기타부채</t>
  </si>
  <si>
    <t xml:space="preserve">        1. 퇴직급여부채</t>
  </si>
  <si>
    <t xml:space="preserve">        2. 충당부채</t>
  </si>
  <si>
    <t xml:space="preserve">        3. 미지급법인세</t>
  </si>
  <si>
    <t xml:space="preserve">        4. 미지급배당금</t>
  </si>
  <si>
    <t xml:space="preserve">        5. 미지급금</t>
  </si>
  <si>
    <t xml:space="preserve">        6. 미지급비용</t>
  </si>
  <si>
    <t xml:space="preserve">        7. 임대보증금</t>
  </si>
  <si>
    <t xml:space="preserve">        8. 선수금</t>
  </si>
  <si>
    <t xml:space="preserve">        9. 선수수익</t>
  </si>
  <si>
    <t xml:space="preserve">        10. 가수금</t>
  </si>
  <si>
    <t xml:space="preserve">        11. 대리점</t>
  </si>
  <si>
    <t xml:space="preserve">        12. 본·지점</t>
  </si>
  <si>
    <t xml:space="preserve">        13. 선물자기거래 정산차금</t>
  </si>
  <si>
    <t xml:space="preserve">        14. 이연법인세부채</t>
  </si>
  <si>
    <t xml:space="preserve">        15. 제세금예수금</t>
  </si>
  <si>
    <t xml:space="preserve">        16. 신탁계정차</t>
  </si>
  <si>
    <t xml:space="preserve">        17. 종금계정차</t>
  </si>
  <si>
    <t xml:space="preserve">    Ⅴ. 요구불상환지분</t>
  </si>
  <si>
    <t xml:space="preserve">        1. 상환우선주</t>
  </si>
  <si>
    <t>A1</t>
  </si>
  <si>
    <t>B1</t>
  </si>
  <si>
    <t>C</t>
  </si>
  <si>
    <t>전월말(①)</t>
  </si>
  <si>
    <t>잔존만기 3개월이내 유동성자산(A)</t>
  </si>
  <si>
    <t>_x000D_
A2</t>
  </si>
  <si>
    <t>잔존만기 3개월이내 유동성부채(B)</t>
  </si>
  <si>
    <t>_x000D_
A3</t>
  </si>
  <si>
    <t>유동성비율=(A/B)×100</t>
  </si>
  <si>
    <t>가. 자금조달 및 운용현황</t>
  </si>
  <si>
    <t>A</t>
  </si>
  <si>
    <t>B</t>
  </si>
  <si>
    <t>월평잔</t>
  </si>
  <si>
    <t>거래금액</t>
  </si>
  <si>
    <t>A10000</t>
  </si>
  <si>
    <t>조달(부채와 자본총계)</t>
  </si>
  <si>
    <t/>
  </si>
  <si>
    <t>_x000D_
A10100</t>
  </si>
  <si>
    <t xml:space="preserve">    예수부채</t>
  </si>
  <si>
    <t>_x000D_
A10110</t>
  </si>
  <si>
    <t xml:space="preserve">         (위탁자예수금)</t>
  </si>
  <si>
    <t>_x000D_
A10120</t>
  </si>
  <si>
    <t xml:space="preserve">         (장내파생상품거래예수금)</t>
  </si>
  <si>
    <t>_x000D_
A10130</t>
  </si>
  <si>
    <t xml:space="preserve">         (집합투자증권투자자예수금)</t>
  </si>
  <si>
    <t>_x000D_
A10200</t>
  </si>
  <si>
    <t xml:space="preserve">    차입부채</t>
  </si>
  <si>
    <t>_x000D_
A10210</t>
  </si>
  <si>
    <t xml:space="preserve">        콜머니</t>
  </si>
  <si>
    <t>_x000D_
A10211</t>
  </si>
  <si>
    <t xml:space="preserve">             담보</t>
  </si>
  <si>
    <t>_x000D_
A10212</t>
  </si>
  <si>
    <t xml:space="preserve">             신용</t>
  </si>
  <si>
    <t>_x000D_
A10220</t>
  </si>
  <si>
    <t xml:space="preserve">        차입금</t>
  </si>
  <si>
    <t>_x000D_
A10221</t>
  </si>
  <si>
    <t xml:space="preserve">             당좌차월</t>
  </si>
  <si>
    <t>_x000D_
A10222</t>
  </si>
  <si>
    <t xml:space="preserve">             은행차입금</t>
  </si>
  <si>
    <t>_x000D_
A10223</t>
  </si>
  <si>
    <t xml:space="preserve">             증금차입금</t>
  </si>
  <si>
    <t>_x000D_
A102231</t>
  </si>
  <si>
    <t xml:space="preserve">                증권유통금융</t>
  </si>
  <si>
    <t>_x000D_
A102232</t>
  </si>
  <si>
    <t xml:space="preserve">                담보금융지원대출</t>
  </si>
  <si>
    <t>_x000D_
A102233</t>
  </si>
  <si>
    <t xml:space="preserve">                기관운영자금대출</t>
  </si>
  <si>
    <t>_x000D_
A102234</t>
  </si>
  <si>
    <t xml:space="preserve">                단기어음매매</t>
  </si>
  <si>
    <t>_x000D_
A102235</t>
  </si>
  <si>
    <t xml:space="preserve">                일중자금거래</t>
  </si>
  <si>
    <t>_x000D_
A10224</t>
  </si>
  <si>
    <t xml:space="preserve">             외화차입금</t>
  </si>
  <si>
    <t>_x000D_
A10225</t>
  </si>
  <si>
    <t xml:space="preserve">             기타</t>
  </si>
  <si>
    <t>_x000D_
A10230</t>
  </si>
  <si>
    <t xml:space="preserve">        환매조건부채권매도</t>
  </si>
  <si>
    <t>_x000D_
A10231</t>
  </si>
  <si>
    <t xml:space="preserve">             대기관</t>
  </si>
  <si>
    <t>_x000D_
A10232</t>
  </si>
  <si>
    <t xml:space="preserve">             대고객</t>
  </si>
  <si>
    <t>_x000D_
A10233</t>
  </si>
  <si>
    <t xml:space="preserve">             대한은</t>
  </si>
  <si>
    <t>_x000D_
A10240</t>
  </si>
  <si>
    <t xml:space="preserve">        매도증권</t>
  </si>
  <si>
    <t>_x000D_
A10250</t>
  </si>
  <si>
    <t xml:space="preserve">        매도파생결합증권</t>
  </si>
  <si>
    <t>_x000D_
A10251</t>
  </si>
  <si>
    <t xml:space="preserve">             (매도주가연계증권)</t>
  </si>
  <si>
    <t>_x000D_
A10300</t>
  </si>
  <si>
    <t xml:space="preserve">    사채</t>
  </si>
  <si>
    <t>_x000D_
A102251</t>
  </si>
  <si>
    <t xml:space="preserve">        (전자단기사채)</t>
  </si>
  <si>
    <t>_x000D_
A10400</t>
  </si>
  <si>
    <t xml:space="preserve">    후순위사채</t>
  </si>
  <si>
    <t>_x000D_
A10500</t>
  </si>
  <si>
    <t xml:space="preserve">    후순위차입금</t>
  </si>
  <si>
    <t>_x000D_
A10600</t>
  </si>
  <si>
    <t xml:space="preserve">    발행어음(종금계정)</t>
  </si>
  <si>
    <t>_x000D_
A10610</t>
  </si>
  <si>
    <t xml:space="preserve">    발행어음(종합금융투자사업자)</t>
  </si>
  <si>
    <t>_x000D_
A10601</t>
  </si>
  <si>
    <t xml:space="preserve">    기타차입부채</t>
  </si>
  <si>
    <t>_x000D_
A10700</t>
  </si>
  <si>
    <t xml:space="preserve">    파생상품</t>
  </si>
  <si>
    <t>_x000D_
A10800</t>
  </si>
  <si>
    <t xml:space="preserve">    기타부채</t>
  </si>
  <si>
    <t>_x000D_
A10810</t>
  </si>
  <si>
    <t xml:space="preserve">        (미지급금)</t>
  </si>
  <si>
    <t>_x000D_
A10820</t>
  </si>
  <si>
    <t xml:space="preserve">        (미지급비용)</t>
  </si>
  <si>
    <t>_x000D_
A10900</t>
  </si>
  <si>
    <t xml:space="preserve">    자본총계</t>
  </si>
  <si>
    <t>_x000D_
A20000</t>
  </si>
  <si>
    <t>운용(자산총계)</t>
  </si>
  <si>
    <t>_x000D_
A20100</t>
  </si>
  <si>
    <t xml:space="preserve">    현금및현금성자산</t>
  </si>
  <si>
    <t>_x000D_
A20200</t>
  </si>
  <si>
    <t xml:space="preserve">    예치금</t>
  </si>
  <si>
    <t>_x000D_
A20210</t>
  </si>
  <si>
    <t xml:space="preserve">        (투자자예탁금별도예치금)</t>
  </si>
  <si>
    <t>_x000D_
A20220</t>
  </si>
  <si>
    <t xml:space="preserve">        (장내파생상품거래예치금)</t>
  </si>
  <si>
    <t>_x000D_
A20300</t>
  </si>
  <si>
    <t xml:space="preserve">    당기손익-공정가치측정증권</t>
  </si>
  <si>
    <t>_x000D_
A20310</t>
  </si>
  <si>
    <t xml:space="preserve">        주식,신주인수권증서</t>
  </si>
  <si>
    <t>_x000D_
A20320</t>
  </si>
  <si>
    <t xml:space="preserve">        국채,지방채,특수채</t>
  </si>
  <si>
    <t>_x000D_
A20330</t>
  </si>
  <si>
    <t xml:space="preserve">        회사채</t>
  </si>
  <si>
    <t>_x000D_
A20340</t>
  </si>
  <si>
    <t xml:space="preserve">        집합투자증권</t>
  </si>
  <si>
    <t>_x000D_
A20350</t>
  </si>
  <si>
    <t xml:space="preserve">        기업어음증권</t>
  </si>
  <si>
    <t>_x000D_
A20360</t>
  </si>
  <si>
    <t xml:space="preserve">        외화증권</t>
  </si>
  <si>
    <t>_x000D_
A20370</t>
  </si>
  <si>
    <t xml:space="preserve">        기타</t>
  </si>
  <si>
    <t>_x000D_
A20400</t>
  </si>
  <si>
    <t xml:space="preserve">    기타포괄손익-공정가치측정증권</t>
  </si>
  <si>
    <t>_x000D_
A20410</t>
  </si>
  <si>
    <t xml:space="preserve">        주식,신주인수권증서,출자금</t>
  </si>
  <si>
    <t>_x000D_
A20420</t>
  </si>
  <si>
    <t>_x000D_
A20430</t>
  </si>
  <si>
    <t>_x000D_
A20440</t>
  </si>
  <si>
    <t>_x000D_
A20450</t>
  </si>
  <si>
    <t>_x000D_
A20460</t>
  </si>
  <si>
    <t>_x000D_
A20470</t>
  </si>
  <si>
    <t>_x000D_
A20500</t>
  </si>
  <si>
    <t xml:space="preserve">    상각후원가측정증권</t>
  </si>
  <si>
    <t>_x000D_
A20600</t>
  </si>
  <si>
    <t xml:space="preserve">    관계회사투자지분</t>
  </si>
  <si>
    <t>_x000D_
A20700</t>
  </si>
  <si>
    <t xml:space="preserve">    파생결합증권</t>
  </si>
  <si>
    <t>_x000D_
A20800</t>
  </si>
  <si>
    <t>_x000D_
A20900</t>
  </si>
  <si>
    <t xml:space="preserve">    대출채권</t>
  </si>
  <si>
    <t>_x000D_
A20910</t>
  </si>
  <si>
    <t xml:space="preserve">        콜론</t>
  </si>
  <si>
    <t>_x000D_
A20920</t>
  </si>
  <si>
    <t xml:space="preserve">        신용공여금</t>
  </si>
  <si>
    <t>_x000D_
A20930</t>
  </si>
  <si>
    <t xml:space="preserve">        환매조건부매수</t>
  </si>
  <si>
    <t>_x000D_
A20940</t>
  </si>
  <si>
    <t xml:space="preserve">        대여금</t>
  </si>
  <si>
    <t>_x000D_
A20950</t>
  </si>
  <si>
    <t xml:space="preserve">        매입대출채권</t>
  </si>
  <si>
    <t>_x000D_
A20960</t>
  </si>
  <si>
    <t>_x000D_
A21000</t>
  </si>
  <si>
    <t xml:space="preserve">    유형자산</t>
  </si>
  <si>
    <t>_x000D_
A21100</t>
  </si>
  <si>
    <t xml:space="preserve">    CMA운용자산(종금계정)</t>
  </si>
  <si>
    <t>_x000D_
A21300</t>
  </si>
  <si>
    <t xml:space="preserve">    리스자산(종금계정)</t>
  </si>
  <si>
    <t>_x000D_
A21200</t>
  </si>
  <si>
    <t xml:space="preserve">    기타자산</t>
  </si>
  <si>
    <t>_x000D_
A21210</t>
  </si>
  <si>
    <t xml:space="preserve">        (미수금)</t>
  </si>
  <si>
    <t>_x000D_
A21220</t>
  </si>
  <si>
    <t xml:space="preserve">        (미수수익)</t>
  </si>
  <si>
    <t xml:space="preserve"> </t>
    <phoneticPr fontId="1" type="noConversion"/>
  </si>
  <si>
    <t>자산·부채 범주별 분류</t>
  </si>
  <si>
    <t>D</t>
  </si>
  <si>
    <t>F</t>
  </si>
  <si>
    <t>G</t>
  </si>
  <si>
    <t>H</t>
  </si>
  <si>
    <t>I</t>
  </si>
  <si>
    <t>당기손익-공정가치측정금융자산(부채)</t>
  </si>
  <si>
    <t>당기손익-공정가치측정지정금융자산(부채)</t>
  </si>
  <si>
    <t>기타포괄손익-공정가치측정금융자산</t>
  </si>
  <si>
    <t>상각후원가측정금융자산</t>
  </si>
  <si>
    <t>F100000000</t>
  </si>
  <si>
    <t>_x000D_
F110000000</t>
  </si>
  <si>
    <t>_x000D_
F110100000</t>
  </si>
  <si>
    <t>_x000D_
F110101000</t>
  </si>
  <si>
    <t>_x000D_
F110102000</t>
  </si>
  <si>
    <t>_x000D_
F110103000</t>
  </si>
  <si>
    <t>_x000D_
F110104000</t>
  </si>
  <si>
    <t>_x000D_
F110105000</t>
  </si>
  <si>
    <t>_x000D_
F110106000</t>
  </si>
  <si>
    <t>_x000D_
F110107000</t>
  </si>
  <si>
    <t>_x000D_
F110108000</t>
  </si>
  <si>
    <t>_x000D_
F110109000</t>
  </si>
  <si>
    <t>_x000D_
F110110000</t>
  </si>
  <si>
    <t>_x000D_
F110200000</t>
  </si>
  <si>
    <t>_x000D_
F110201000</t>
  </si>
  <si>
    <t>_x000D_
F110202000</t>
  </si>
  <si>
    <t>_x000D_
F110203000</t>
  </si>
  <si>
    <t>_x000D_
F110204000</t>
  </si>
  <si>
    <t>_x000D_
F110205000</t>
  </si>
  <si>
    <t>_x000D_
F110206000</t>
  </si>
  <si>
    <t>_x000D_
F110207000</t>
  </si>
  <si>
    <t>_x000D_
F110208000</t>
  </si>
  <si>
    <t>_x000D_
F110209000</t>
  </si>
  <si>
    <t>_x000D_
F110210000</t>
  </si>
  <si>
    <t>_x000D_
F110211000</t>
  </si>
  <si>
    <t>_x000D_
F110212000</t>
  </si>
  <si>
    <t>_x000D_
F110213000</t>
  </si>
  <si>
    <t>_x000D_
F120000000</t>
  </si>
  <si>
    <t>_x000D_
F120100000</t>
  </si>
  <si>
    <t>_x000D_
F120101000</t>
  </si>
  <si>
    <t>_x000D_
F120102000</t>
  </si>
  <si>
    <t>_x000D_
F120103000</t>
  </si>
  <si>
    <t>_x000D_
F120104000</t>
  </si>
  <si>
    <t>_x000D_
F120105000</t>
  </si>
  <si>
    <t>_x000D_
F120106000</t>
  </si>
  <si>
    <t>_x000D_
F120107000</t>
  </si>
  <si>
    <t>_x000D_
F120108000</t>
  </si>
  <si>
    <t>_x000D_
F120109000</t>
  </si>
  <si>
    <t>_x000D_
F120109010</t>
  </si>
  <si>
    <t>_x000D_
F120109020</t>
  </si>
  <si>
    <t>_x000D_
F120109030</t>
  </si>
  <si>
    <t>_x000D_
F120110000</t>
  </si>
  <si>
    <t>_x000D_
F120200000</t>
  </si>
  <si>
    <t>_x000D_
F120201000</t>
  </si>
  <si>
    <t>_x000D_
F120202000</t>
  </si>
  <si>
    <t>_x000D_
F120300000</t>
  </si>
  <si>
    <t>_x000D_
F120301000</t>
  </si>
  <si>
    <t>_x000D_
F120302000</t>
  </si>
  <si>
    <t>_x000D_
F120303000</t>
  </si>
  <si>
    <t>_x000D_
F120304000</t>
  </si>
  <si>
    <t>_x000D_
F120305000</t>
  </si>
  <si>
    <t>_x000D_
F130000000</t>
  </si>
  <si>
    <t>_x000D_
F130100000</t>
  </si>
  <si>
    <t>_x000D_
F130200000</t>
  </si>
  <si>
    <t>_x000D_
F130300000</t>
  </si>
  <si>
    <t>_x000D_
F130400000</t>
  </si>
  <si>
    <t>_x000D_
F130500000</t>
  </si>
  <si>
    <t>_x000D_
F130600000</t>
  </si>
  <si>
    <t>_x000D_
F130700000</t>
  </si>
  <si>
    <t>_x000D_
F130800000</t>
  </si>
  <si>
    <t>_x000D_
F140000000</t>
  </si>
  <si>
    <t>_x000D_
F14000000A</t>
  </si>
  <si>
    <t>_x000D_
F14000000B</t>
  </si>
  <si>
    <t>_x000D_
F14000000C</t>
  </si>
  <si>
    <t>_x000D_
F140100000</t>
  </si>
  <si>
    <t>_x000D_
F140200000</t>
  </si>
  <si>
    <t>_x000D_
F140201000</t>
  </si>
  <si>
    <t>_x000D_
F140202000</t>
  </si>
  <si>
    <t>_x000D_
F140203000</t>
  </si>
  <si>
    <t>_x000D_
F140204000</t>
  </si>
  <si>
    <t>_x000D_
F140205000</t>
  </si>
  <si>
    <t>_x000D_
F140300000</t>
  </si>
  <si>
    <t>_x000D_
F140400000</t>
  </si>
  <si>
    <t>_x000D_
F140500000</t>
  </si>
  <si>
    <t>_x000D_
F140600000</t>
  </si>
  <si>
    <t>_x000D_
F140700000</t>
  </si>
  <si>
    <t>_x000D_
F140800000</t>
  </si>
  <si>
    <t>_x000D_
F140900000</t>
  </si>
  <si>
    <t>_x000D_
F141000000</t>
  </si>
  <si>
    <t>_x000D_
F141100000</t>
  </si>
  <si>
    <t>_x000D_
F141200000</t>
  </si>
  <si>
    <t>_x000D_
F141300000</t>
  </si>
  <si>
    <t>_x000D_
F141400000</t>
  </si>
  <si>
    <t>_x000D_
F141500000</t>
  </si>
  <si>
    <t>_x000D_
F141600000</t>
  </si>
  <si>
    <t>_x000D_
F141601000</t>
  </si>
  <si>
    <t>_x000D_
F141602000</t>
  </si>
  <si>
    <t>_x000D_
F141603000</t>
  </si>
  <si>
    <t>_x000D_
F141604000</t>
  </si>
  <si>
    <t>_x000D_
F141605000</t>
  </si>
  <si>
    <t>_x000D_
F141606000</t>
  </si>
  <si>
    <t>_x000D_
F141607000</t>
  </si>
  <si>
    <t>_x000D_
F141608000</t>
  </si>
  <si>
    <t>_x000D_
F141609000</t>
  </si>
  <si>
    <t>_x000D_
F141610000</t>
  </si>
  <si>
    <t>_x000D_
F141611000</t>
  </si>
  <si>
    <t>_x000D_
F141612000</t>
  </si>
  <si>
    <t>_x000D_
F141613000</t>
  </si>
  <si>
    <t>_x000D_
F141614000</t>
  </si>
  <si>
    <t>_x000D_
F141615000</t>
  </si>
  <si>
    <t>_x000D_
F150000000</t>
  </si>
  <si>
    <t>_x000D_
F15000000A</t>
  </si>
  <si>
    <t>_x000D_
F150100000</t>
  </si>
  <si>
    <t>_x000D_
F150200000</t>
  </si>
  <si>
    <t>_x000D_
F150300000</t>
  </si>
  <si>
    <t>_x000D_
F150400000</t>
  </si>
  <si>
    <t>_x000D_
F150500000</t>
  </si>
  <si>
    <t>_x000D_
F150600000</t>
  </si>
  <si>
    <t>_x000D_
F150700000</t>
  </si>
  <si>
    <t>_x000D_
F150800000</t>
  </si>
  <si>
    <t>_x000D_
F150900000</t>
  </si>
  <si>
    <t>_x000D_
F151000000</t>
  </si>
  <si>
    <t>_x000D_
F151100000</t>
  </si>
  <si>
    <t>_x000D_
F151200000</t>
  </si>
  <si>
    <t>_x000D_
F160000000</t>
  </si>
  <si>
    <t>_x000D_
F160100000</t>
  </si>
  <si>
    <t>_x000D_
F160200000</t>
  </si>
  <si>
    <t>_x000D_
F160300000</t>
  </si>
  <si>
    <t>_x000D_
F160400000</t>
  </si>
  <si>
    <t>_x000D_
F160500000</t>
  </si>
  <si>
    <t>_x000D_
F170000000</t>
  </si>
  <si>
    <t>_x000D_
F170100000</t>
  </si>
  <si>
    <t>_x000D_
F170200000</t>
  </si>
  <si>
    <t>_x000D_
F170300000</t>
  </si>
  <si>
    <t>_x000D_
F180000000</t>
  </si>
  <si>
    <t>_x000D_
F18000000A</t>
  </si>
  <si>
    <t>_x000D_
F18000000B</t>
  </si>
  <si>
    <t>_x000D_
F180100000</t>
  </si>
  <si>
    <t>_x000D_
F180101000</t>
  </si>
  <si>
    <t>_x000D_
F180102000</t>
  </si>
  <si>
    <t>_x000D_
F180103000</t>
  </si>
  <si>
    <t>_x000D_
F180104000</t>
  </si>
  <si>
    <t>_x000D_
F180200000</t>
  </si>
  <si>
    <t>_x000D_
F180201000</t>
  </si>
  <si>
    <t>_x000D_
F180202000</t>
  </si>
  <si>
    <t>_x000D_
F180203000</t>
  </si>
  <si>
    <t>_x000D_
F180204000</t>
  </si>
  <si>
    <t>_x000D_
F180205000</t>
  </si>
  <si>
    <t>_x000D_
F180300000</t>
  </si>
  <si>
    <t>_x000D_
F180301000</t>
  </si>
  <si>
    <t>_x000D_
F180302000</t>
  </si>
  <si>
    <t>_x000D_
F180303000</t>
  </si>
  <si>
    <t>_x000D_
F180304000</t>
  </si>
  <si>
    <t>_x000D_
F180400000</t>
  </si>
  <si>
    <t>_x000D_
F180500000</t>
  </si>
  <si>
    <t>_x000D_
F180600000</t>
  </si>
  <si>
    <t>_x000D_
F180700000</t>
  </si>
  <si>
    <t>_x000D_
F180800000</t>
  </si>
  <si>
    <t>_x000D_
F180900000</t>
  </si>
  <si>
    <t>_x000D_
F181000000</t>
  </si>
  <si>
    <t>_x000D_
F181100000</t>
  </si>
  <si>
    <t>_x000D_
F181200000</t>
  </si>
  <si>
    <t>_x000D_
A18120000A</t>
  </si>
  <si>
    <t>_x000D_
F181300000</t>
  </si>
  <si>
    <t>_x000D_
F181400000</t>
  </si>
  <si>
    <t>_x000D_
F181500000</t>
  </si>
  <si>
    <t>_x000D_
F181600000</t>
  </si>
  <si>
    <t>_x000D_
F181700000</t>
  </si>
  <si>
    <t>_x000D_
F181701000</t>
  </si>
  <si>
    <t>_x000D_
F181702000</t>
  </si>
  <si>
    <t>_x000D_
F181702010</t>
  </si>
  <si>
    <t>_x000D_
F181702020</t>
  </si>
  <si>
    <t>_x000D_
F181702030</t>
  </si>
  <si>
    <t>_x000D_
F181703000</t>
  </si>
  <si>
    <t>_x000D_
F181704000</t>
  </si>
  <si>
    <t>_x000D_
F200000000</t>
  </si>
  <si>
    <t>_x000D_
F210000000</t>
  </si>
  <si>
    <t>_x000D_
F210100000</t>
  </si>
  <si>
    <t>_x000D_
F210200000</t>
  </si>
  <si>
    <t>_x000D_
F210300000</t>
  </si>
  <si>
    <t>_x000D_
F210400000</t>
  </si>
  <si>
    <t>_x000D_
F210500000</t>
  </si>
  <si>
    <t>_x000D_
F220000000</t>
  </si>
  <si>
    <t>_x000D_
F22000000A</t>
  </si>
  <si>
    <t>_x000D_
F22000000B</t>
  </si>
  <si>
    <t>_x000D_
F220100000</t>
  </si>
  <si>
    <t>_x000D_
F220200000</t>
  </si>
  <si>
    <t>_x000D_
F220201000</t>
  </si>
  <si>
    <t>_x000D_
F220202000</t>
  </si>
  <si>
    <t>_x000D_
F220203000</t>
  </si>
  <si>
    <t>_x000D_
F220204000</t>
  </si>
  <si>
    <t>_x000D_
F220205000</t>
  </si>
  <si>
    <t>_x000D_
F220300000</t>
  </si>
  <si>
    <t>_x000D_
F220400000</t>
  </si>
  <si>
    <t>_x000D_
F220401000</t>
  </si>
  <si>
    <t>_x000D_
F220402000</t>
  </si>
  <si>
    <t>_x000D_
F220403000</t>
  </si>
  <si>
    <t>_x000D_
F220404000</t>
  </si>
  <si>
    <t>_x000D_
F220405000</t>
  </si>
  <si>
    <t>_x000D_
F220500000</t>
  </si>
  <si>
    <t>_x000D_
F220501000</t>
  </si>
  <si>
    <t>_x000D_
F220502000</t>
  </si>
  <si>
    <t>_x000D_
F220503000</t>
  </si>
  <si>
    <t>_x000D_
F220504000</t>
  </si>
  <si>
    <t>_x000D_
F220505000</t>
  </si>
  <si>
    <t>_x000D_
F220600000</t>
  </si>
  <si>
    <t>_x000D_
F22060000A</t>
  </si>
  <si>
    <t>_x000D_
F220601000</t>
  </si>
  <si>
    <t>_x000D_
F220602000</t>
  </si>
  <si>
    <t>_x000D_
F220700000</t>
  </si>
  <si>
    <t>_x000D_
F22070000A</t>
  </si>
  <si>
    <t>_x000D_
F220800000</t>
  </si>
  <si>
    <t>_x000D_
F220900000</t>
  </si>
  <si>
    <t>_x000D_
F220910000</t>
  </si>
  <si>
    <t>_x000D_
F221000000</t>
  </si>
  <si>
    <t>_x000D_
F230000000</t>
  </si>
  <si>
    <t>_x000D_
F230100000</t>
  </si>
  <si>
    <t>_x000D_
F230200000</t>
  </si>
  <si>
    <t>_x000D_
F230300000</t>
  </si>
  <si>
    <t>_x000D_
F230400000</t>
  </si>
  <si>
    <t>_x000D_
F230500000</t>
  </si>
  <si>
    <t>_x000D_
F230600000</t>
  </si>
  <si>
    <t>_x000D_
F230700000</t>
  </si>
  <si>
    <t>_x000D_
F230800000</t>
  </si>
  <si>
    <t>_x000D_
F240000000</t>
  </si>
  <si>
    <t>_x000D_
F24000000A</t>
  </si>
  <si>
    <t>_x000D_
F24000000B</t>
  </si>
  <si>
    <t>_x000D_
F240100000</t>
  </si>
  <si>
    <t>_x000D_
F240200000</t>
  </si>
  <si>
    <t>_x000D_
F240300000</t>
  </si>
  <si>
    <t>_x000D_
F240400000</t>
  </si>
  <si>
    <t>_x000D_
F240500000</t>
  </si>
  <si>
    <t>_x000D_
F240600000</t>
  </si>
  <si>
    <t>_x000D_
F240700000</t>
  </si>
  <si>
    <t>_x000D_
F240800000</t>
  </si>
  <si>
    <t>_x000D_
F240900000</t>
  </si>
  <si>
    <t>_x000D_
F241000000</t>
  </si>
  <si>
    <t>_x000D_
F241100000</t>
  </si>
  <si>
    <t>_x000D_
F241200000</t>
  </si>
  <si>
    <t>_x000D_
F241300000</t>
  </si>
  <si>
    <t>_x000D_
F241400000</t>
  </si>
  <si>
    <t>_x000D_
F241500000</t>
  </si>
  <si>
    <t>_x000D_
F241600000</t>
  </si>
  <si>
    <t>_x000D_
F241700000</t>
  </si>
  <si>
    <t>_x000D_
F241800000</t>
  </si>
  <si>
    <t>_x000D_
F250000000</t>
  </si>
  <si>
    <t>_x000D_
F250100000</t>
  </si>
  <si>
    <t>_x000D_
F250200000</t>
  </si>
  <si>
    <t xml:space="preserve"> </t>
    <phoneticPr fontId="1" type="noConversion"/>
  </si>
  <si>
    <t>매수</t>
    <phoneticPr fontId="1" type="noConversion"/>
  </si>
  <si>
    <t>매도</t>
    <phoneticPr fontId="1" type="noConversion"/>
  </si>
  <si>
    <t>시가액</t>
    <phoneticPr fontId="1" type="noConversion"/>
  </si>
  <si>
    <t>통신,광고선전등</t>
    <phoneticPr fontId="1" type="noConversion"/>
  </si>
  <si>
    <t>수수료</t>
    <phoneticPr fontId="1" type="noConversion"/>
  </si>
  <si>
    <t>수수료_과세</t>
    <phoneticPr fontId="1" type="noConversion"/>
  </si>
  <si>
    <t>수수료_면세</t>
    <phoneticPr fontId="1" type="noConversion"/>
  </si>
  <si>
    <t>당기말(②)</t>
    <phoneticPr fontId="20" type="noConversion"/>
  </si>
  <si>
    <t>월말잔</t>
  </si>
  <si>
    <t xml:space="preserve">            ③ 상장지수집합투자증권(ETF)</t>
  </si>
  <si>
    <r>
      <t xml:space="preserve">        9) </t>
    </r>
    <r>
      <rPr>
        <sz val="10"/>
        <color rgb="FF000000"/>
        <rFont val="맑은 고딕"/>
        <family val="3"/>
        <charset val="129"/>
        <scheme val="major"/>
      </rPr>
      <t>금융어음</t>
    </r>
    <phoneticPr fontId="1" type="noConversion"/>
  </si>
  <si>
    <t>증감(②-①)</t>
    <phoneticPr fontId="20" type="noConversion"/>
  </si>
  <si>
    <t>해당사항 없음</t>
    <phoneticPr fontId="1" type="noConversion"/>
  </si>
  <si>
    <t>다. 포괄손익계산서</t>
    <phoneticPr fontId="1" type="noConversion"/>
  </si>
  <si>
    <r>
      <t xml:space="preserve">            </t>
    </r>
    <r>
      <rPr>
        <sz val="10"/>
        <color rgb="FF000000"/>
        <rFont val="맑은 고딕"/>
        <family val="3"/>
        <charset val="129"/>
        <scheme val="major"/>
      </rPr>
      <t>① 유가증권시장</t>
    </r>
    <phoneticPr fontId="1" type="noConversion"/>
  </si>
  <si>
    <r>
      <t xml:space="preserve">        15) </t>
    </r>
    <r>
      <rPr>
        <sz val="10"/>
        <color rgb="FF000000"/>
        <rFont val="맑은 고딕"/>
        <family val="3"/>
        <charset val="129"/>
        <scheme val="major"/>
      </rPr>
      <t>대출 중개·주선 수수료</t>
    </r>
    <phoneticPr fontId="1" type="noConversion"/>
  </si>
  <si>
    <t xml:space="preserve">        9) 전자단기사채</t>
  </si>
  <si>
    <t xml:space="preserve">        10) 기타</t>
    <phoneticPr fontId="1" type="noConversion"/>
  </si>
  <si>
    <t xml:space="preserve">            ③ 상장지수집합투자증권(ETF)</t>
    <phoneticPr fontId="1" type="noConversion"/>
  </si>
  <si>
    <t xml:space="preserve">            ④ IMA투자자산(출자금)</t>
  </si>
  <si>
    <t xml:space="preserve">            ⑩ 미수IMA운용관리보수</t>
  </si>
  <si>
    <t xml:space="preserve">            ⑪ 기타</t>
  </si>
  <si>
    <t xml:space="preserve">    18. IMA계정대</t>
  </si>
  <si>
    <t xml:space="preserve">        5) IMA손실충당금</t>
  </si>
  <si>
    <t xml:space="preserve">        6) 기타</t>
  </si>
  <si>
    <t xml:space="preserve">    18. IMA계정차</t>
  </si>
  <si>
    <t xml:space="preserve">    19. 기타</t>
  </si>
  <si>
    <t>Ⅵ. IMA부채</t>
  </si>
  <si>
    <t xml:space="preserve">    1. IMA수탁금</t>
  </si>
  <si>
    <t xml:space="preserve">    2. 미지급IMA운용이익</t>
  </si>
  <si>
    <t xml:space="preserve">    5. IMA손실준비금</t>
  </si>
  <si>
    <t xml:space="preserve">    6. 신탁사업적립금</t>
  </si>
  <si>
    <t xml:space="preserve">    7. 임의적립금</t>
  </si>
  <si>
    <t xml:space="preserve">    8. 미처분이익잉여금</t>
  </si>
  <si>
    <t xml:space="preserve">        16) IMA수수료</t>
    <phoneticPr fontId="1" type="noConversion"/>
  </si>
  <si>
    <t xml:space="preserve">        17) 기타</t>
    <phoneticPr fontId="1" type="noConversion"/>
  </si>
  <si>
    <t xml:space="preserve">        19) 기타이자</t>
    <phoneticPr fontId="1" type="noConversion"/>
  </si>
  <si>
    <t xml:space="preserve">        20) IMA계정대이자</t>
    <phoneticPr fontId="1" type="noConversion"/>
  </si>
  <si>
    <t xml:space="preserve">       1) 배당금수익</t>
    <phoneticPr fontId="1" type="noConversion"/>
  </si>
  <si>
    <t xml:space="preserve">       2) 분배금수익</t>
    <phoneticPr fontId="1" type="noConversion"/>
  </si>
  <si>
    <t xml:space="preserve">       3) IMA분배금수익</t>
    <phoneticPr fontId="1" type="noConversion"/>
  </si>
  <si>
    <t xml:space="preserve">       4) 별도예치금평가이익</t>
    <phoneticPr fontId="1" type="noConversion"/>
  </si>
  <si>
    <t xml:space="preserve">       5) CMA운용수익(종금계정)</t>
    <phoneticPr fontId="1" type="noConversion"/>
  </si>
  <si>
    <t xml:space="preserve">       11) 기타대손충당금환입</t>
    <phoneticPr fontId="1" type="noConversion"/>
  </si>
  <si>
    <t xml:space="preserve">       12) 파생결합증권신용위험평가조정환입</t>
    <phoneticPr fontId="1" type="noConversion"/>
  </si>
  <si>
    <t xml:space="preserve">       13) 파생상품신용위험평가조정환입</t>
    <phoneticPr fontId="1" type="noConversion"/>
  </si>
  <si>
    <t xml:space="preserve">       14) 파생결합증권거래일손익인식평가조정환입</t>
    <phoneticPr fontId="1" type="noConversion"/>
  </si>
  <si>
    <t xml:space="preserve">       15) 파생상품거래일손익인식평가조정환입</t>
    <phoneticPr fontId="1" type="noConversion"/>
  </si>
  <si>
    <t xml:space="preserve">       16) IMA부채평가이익</t>
    <phoneticPr fontId="1" type="noConversion"/>
  </si>
  <si>
    <t xml:space="preserve">       8) 일반상품 처분이익</t>
    <phoneticPr fontId="1" type="noConversion"/>
  </si>
  <si>
    <t xml:space="preserve">       9) 일반상품 평가이익</t>
    <phoneticPr fontId="1" type="noConversion"/>
  </si>
  <si>
    <t xml:space="preserve">       10) 충당금환입액</t>
    <phoneticPr fontId="1" type="noConversion"/>
  </si>
  <si>
    <t xml:space="preserve">       6) CMA운용수수료 (종금계정)</t>
    <phoneticPr fontId="1" type="noConversion"/>
  </si>
  <si>
    <t xml:space="preserve">       7) 리스수익(종금계정)</t>
    <phoneticPr fontId="1" type="noConversion"/>
  </si>
  <si>
    <t xml:space="preserve">       17) IMA손실충당금환입</t>
    <phoneticPr fontId="1" type="noConversion"/>
  </si>
  <si>
    <t xml:space="preserve">       6) 송금수수료</t>
    <phoneticPr fontId="1" type="noConversion"/>
  </si>
  <si>
    <t xml:space="preserve">       7) IMA수수료</t>
    <phoneticPr fontId="1" type="noConversion"/>
  </si>
  <si>
    <t xml:space="preserve">       8) 기타수수료비용</t>
    <phoneticPr fontId="1" type="noConversion"/>
  </si>
  <si>
    <t xml:space="preserve">       12) IMA계정차이자</t>
    <phoneticPr fontId="1" type="noConversion"/>
  </si>
  <si>
    <t xml:space="preserve">       13) 요구불상환지분관련이자</t>
    <phoneticPr fontId="1" type="noConversion"/>
  </si>
  <si>
    <t xml:space="preserve">       14) 기타</t>
    <phoneticPr fontId="1" type="noConversion"/>
  </si>
  <si>
    <t xml:space="preserve">       10) 종금계정차이자</t>
    <phoneticPr fontId="1" type="noConversion"/>
  </si>
  <si>
    <t xml:space="preserve">       11) CMA수탁금이자(종금계정)</t>
    <phoneticPr fontId="1" type="noConversion"/>
  </si>
  <si>
    <t xml:space="preserve">         ④ IMA손실충당금전입</t>
    <phoneticPr fontId="1" type="noConversion"/>
  </si>
  <si>
    <t xml:space="preserve">         ⑤ 기타</t>
    <phoneticPr fontId="1" type="noConversion"/>
  </si>
  <si>
    <t xml:space="preserve">        11) IMA부채평가손실</t>
    <phoneticPr fontId="1" type="noConversion"/>
  </si>
  <si>
    <t xml:space="preserve">        12) 기타</t>
    <phoneticPr fontId="1" type="noConversion"/>
  </si>
  <si>
    <t xml:space="preserve">    8. 관계회사투자지분평가이익</t>
    <phoneticPr fontId="1" type="noConversion"/>
  </si>
  <si>
    <t xml:space="preserve">    9. 관계회사투자지분손상차손환입(연결대상회사)</t>
    <phoneticPr fontId="1" type="noConversion"/>
  </si>
  <si>
    <t xml:space="preserve">    10. 상각채권추심이익</t>
    <phoneticPr fontId="1" type="noConversion"/>
  </si>
  <si>
    <t xml:space="preserve">    11. 본․지점이자</t>
    <phoneticPr fontId="1" type="noConversion"/>
  </si>
  <si>
    <t xml:space="preserve">    12. 자산수증이익</t>
    <phoneticPr fontId="1" type="noConversion"/>
  </si>
  <si>
    <t xml:space="preserve">    13. 채무면제이익</t>
    <phoneticPr fontId="1" type="noConversion"/>
  </si>
  <si>
    <t xml:space="preserve">    14. 보험차익</t>
    <phoneticPr fontId="1" type="noConversion"/>
  </si>
  <si>
    <t xml:space="preserve">    15. 유형자산손상차손환입</t>
    <phoneticPr fontId="1" type="noConversion"/>
  </si>
  <si>
    <t xml:space="preserve">    16. 무형자산손상차손환입</t>
    <phoneticPr fontId="1" type="noConversion"/>
  </si>
  <si>
    <t xml:space="preserve">    17. 기타자산손상차손환입</t>
    <phoneticPr fontId="1" type="noConversion"/>
  </si>
  <si>
    <t xml:space="preserve">    18. 유형자산재평가손실환입</t>
    <phoneticPr fontId="1" type="noConversion"/>
  </si>
  <si>
    <t xml:space="preserve">    19. 기타</t>
    <phoneticPr fontId="1" type="noConversion"/>
  </si>
  <si>
    <t xml:space="preserve">    7. 관계회사투자지분평가손실</t>
    <phoneticPr fontId="1" type="noConversion"/>
  </si>
  <si>
    <t xml:space="preserve">    8. 관계회사투자지분손상차손(연결대상회사)</t>
    <phoneticPr fontId="1" type="noConversion"/>
  </si>
  <si>
    <t xml:space="preserve">    9. 기부금</t>
    <phoneticPr fontId="1" type="noConversion"/>
  </si>
  <si>
    <t xml:space="preserve">    10. 본․지점이자</t>
    <phoneticPr fontId="1" type="noConversion"/>
  </si>
  <si>
    <t xml:space="preserve">    11. 재해손실</t>
    <phoneticPr fontId="1" type="noConversion"/>
  </si>
  <si>
    <t xml:space="preserve">    12. 사고손실</t>
    <phoneticPr fontId="1" type="noConversion"/>
  </si>
  <si>
    <t xml:space="preserve">    13. 배상손실</t>
    <phoneticPr fontId="1" type="noConversion"/>
  </si>
  <si>
    <t xml:space="preserve">    14. 우선지급손실</t>
    <phoneticPr fontId="1" type="noConversion"/>
  </si>
  <si>
    <t xml:space="preserve">    15. 채무면제손실</t>
    <phoneticPr fontId="1" type="noConversion"/>
  </si>
  <si>
    <t xml:space="preserve">    16. 유형자산손상차손</t>
    <phoneticPr fontId="1" type="noConversion"/>
  </si>
  <si>
    <t xml:space="preserve">    17. 무형자산손상차손</t>
    <phoneticPr fontId="1" type="noConversion"/>
  </si>
  <si>
    <t xml:space="preserve">    18. 기타자산손상차손</t>
    <phoneticPr fontId="1" type="noConversion"/>
  </si>
  <si>
    <t xml:space="preserve">    19. 유형자산재평가손실</t>
    <phoneticPr fontId="1" type="noConversion"/>
  </si>
  <si>
    <t xml:space="preserve">    20. 기타</t>
    <phoneticPr fontId="1" type="noConversion"/>
  </si>
  <si>
    <t xml:space="preserve">    (손실준비금적립액)</t>
    <phoneticPr fontId="1" type="noConversion"/>
  </si>
  <si>
    <t xml:space="preserve">    (대손준비금및손실준비금적립후 당기순이익)</t>
    <phoneticPr fontId="1" type="noConversion"/>
  </si>
  <si>
    <t xml:space="preserve">       18. IMA계정대</t>
    <phoneticPr fontId="20" type="noConversion"/>
  </si>
  <si>
    <t xml:space="preserve">        18. IMA계정차</t>
    <phoneticPr fontId="20" type="noConversion"/>
  </si>
  <si>
    <t xml:space="preserve">        19. 기타</t>
    <phoneticPr fontId="20" type="noConversion"/>
  </si>
  <si>
    <t xml:space="preserve">     Ⅵ. IMA부채</t>
    <phoneticPr fontId="20" type="noConversion"/>
  </si>
  <si>
    <t xml:space="preserve">        1. IMA수탁금</t>
    <phoneticPr fontId="20" type="noConversion"/>
  </si>
  <si>
    <t xml:space="preserve">        2. 미지급IMA운용이익</t>
    <phoneticPr fontId="20" type="noConversion"/>
  </si>
  <si>
    <t xml:space="preserve">        3. 기타</t>
    <phoneticPr fontId="20" type="noConversion"/>
  </si>
  <si>
    <t>F241900000</t>
    <phoneticPr fontId="20" type="noConversion"/>
  </si>
  <si>
    <t>F260000000</t>
    <phoneticPr fontId="20" type="noConversion"/>
  </si>
  <si>
    <t>F260100000</t>
    <phoneticPr fontId="20" type="noConversion"/>
  </si>
  <si>
    <t>F260200000</t>
    <phoneticPr fontId="20" type="noConversion"/>
  </si>
  <si>
    <t>F260300000</t>
    <phoneticPr fontId="20" type="noConversion"/>
  </si>
  <si>
    <t>F181800000</t>
    <phoneticPr fontId="20" type="noConversion"/>
  </si>
  <si>
    <t>나. (1)유동성비율(2월)(투자매매·중개업)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</si>
</sst>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3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sz val="10"/>
      <color indexed="8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F"/>
        <bgColor indexed="64"/>
      </patternFill>
    </fill>
    <fill>
      <patternFill patternType="solid">
        <fgColor rgb="FFFAFA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</patternFill>
    </fill>
  </fills>
  <borders count="22">
    <border>
      <left/>
      <right/>
      <top/>
      <bottom/>
      <diagonal/>
    </border>
    <border>
      <left style="double">
        <color indexed="0"/>
      </left>
      <right/>
      <top style="double">
        <color indexed="0"/>
      </top>
      <bottom style="double">
        <color indexed="0"/>
      </bottom>
      <diagonal/>
    </border>
    <border>
      <left/>
      <right style="double">
        <color indexed="0"/>
      </right>
      <top style="double">
        <color indexed="0"/>
      </top>
      <bottom style="double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double">
        <color indexed="0"/>
      </top>
      <bottom style="double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3B3B3"/>
      </left>
      <right style="thin">
        <color rgb="FFB3B3B3"/>
      </right>
      <top style="thin">
        <color rgb="FFFFFFFF"/>
      </top>
      <bottom style="thin">
        <color rgb="FFB3B3B3"/>
      </bottom>
      <diagonal/>
    </border>
  </borders>
  <cellStyleXfs count="87">
    <xf numFmtId="0" fontId="0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" fillId="8" borderId="18" applyNumberFormat="0" applyFont="0" applyAlignment="0" applyProtection="0">
      <alignment vertical="center"/>
    </xf>
    <xf numFmtId="0" fontId="3" fillId="8" borderId="18" applyNumberFormat="0" applyFon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2" fillId="6" borderId="15" applyNumberFormat="0" applyAlignment="0" applyProtection="0">
      <alignment vertical="center"/>
    </xf>
    <xf numFmtId="0" fontId="12" fillId="6" borderId="15" applyNumberFormat="0" applyAlignment="0" applyProtection="0">
      <alignment vertical="center"/>
    </xf>
    <xf numFmtId="0" fontId="3" fillId="0" borderId="0">
      <alignment vertical="center"/>
    </xf>
    <xf numFmtId="0" fontId="2" fillId="0" borderId="0"/>
    <xf numFmtId="0" fontId="21" fillId="0" borderId="0"/>
    <xf numFmtId="176" fontId="21" fillId="0" borderId="0" applyFont="0" applyFill="0" applyBorder="0" applyAlignment="0" applyProtection="0"/>
  </cellStyleXfs>
  <cellXfs count="67">
    <xf numFmtId="0" fontId="0" fillId="0" borderId="0" xfId="0">
      <alignment vertical="center"/>
    </xf>
    <xf numFmtId="0" fontId="22" fillId="0" borderId="0" xfId="0" applyFont="1" applyAlignment="1"/>
    <xf numFmtId="0" fontId="24" fillId="34" borderId="3" xfId="0" applyFont="1" applyFill="1" applyBorder="1" applyAlignment="1"/>
    <xf numFmtId="0" fontId="22" fillId="34" borderId="4" xfId="0" applyFont="1" applyFill="1" applyBorder="1" applyAlignment="1"/>
    <xf numFmtId="0" fontId="22" fillId="34" borderId="3" xfId="0" applyFont="1" applyFill="1" applyBorder="1" applyAlignment="1"/>
    <xf numFmtId="0" fontId="23" fillId="33" borderId="5" xfId="0" applyFont="1" applyFill="1" applyBorder="1" applyAlignment="1">
      <alignment horizontal="center" vertical="center"/>
    </xf>
    <xf numFmtId="0" fontId="22" fillId="33" borderId="5" xfId="0" applyFont="1" applyFill="1" applyBorder="1" applyAlignment="1">
      <alignment horizontal="left" vertical="center"/>
    </xf>
    <xf numFmtId="3" fontId="22" fillId="35" borderId="5" xfId="0" applyNumberFormat="1" applyFont="1" applyFill="1" applyBorder="1" applyAlignment="1"/>
    <xf numFmtId="3" fontId="22" fillId="0" borderId="0" xfId="0" applyNumberFormat="1" applyFont="1" applyAlignment="1"/>
    <xf numFmtId="3" fontId="22" fillId="0" borderId="5" xfId="0" applyNumberFormat="1" applyFont="1" applyBorder="1" applyAlignment="1"/>
    <xf numFmtId="3" fontId="22" fillId="0" borderId="5" xfId="0" applyNumberFormat="1" applyFont="1" applyBorder="1" applyAlignment="1">
      <alignment horizontal="right"/>
    </xf>
    <xf numFmtId="0" fontId="25" fillId="0" borderId="0" xfId="0" applyFont="1" applyAlignment="1"/>
    <xf numFmtId="0" fontId="22" fillId="34" borderId="7" xfId="0" applyFont="1" applyFill="1" applyBorder="1" applyAlignment="1"/>
    <xf numFmtId="0" fontId="22" fillId="36" borderId="5" xfId="0" applyFont="1" applyFill="1" applyBorder="1" applyAlignment="1">
      <alignment horizontal="center" vertical="center"/>
    </xf>
    <xf numFmtId="3" fontId="23" fillId="33" borderId="5" xfId="0" applyNumberFormat="1" applyFont="1" applyFill="1" applyBorder="1" applyAlignment="1">
      <alignment horizontal="center" vertical="center"/>
    </xf>
    <xf numFmtId="3" fontId="27" fillId="33" borderId="5" xfId="0" applyNumberFormat="1" applyFont="1" applyFill="1" applyBorder="1" applyAlignment="1">
      <alignment horizontal="center" vertical="center"/>
    </xf>
    <xf numFmtId="0" fontId="22" fillId="35" borderId="5" xfId="0" applyFont="1" applyFill="1" applyBorder="1" applyAlignment="1">
      <alignment horizontal="center" vertical="center"/>
    </xf>
    <xf numFmtId="3" fontId="22" fillId="35" borderId="5" xfId="0" applyNumberFormat="1" applyFont="1" applyFill="1" applyBorder="1" applyAlignment="1">
      <alignment horizontal="left" vertical="center"/>
    </xf>
    <xf numFmtId="0" fontId="25" fillId="35" borderId="0" xfId="0" applyFont="1" applyFill="1" applyAlignment="1"/>
    <xf numFmtId="0" fontId="22" fillId="35" borderId="0" xfId="0" applyFont="1" applyFill="1" applyAlignment="1"/>
    <xf numFmtId="3" fontId="22" fillId="33" borderId="5" xfId="0" applyNumberFormat="1" applyFont="1" applyFill="1" applyBorder="1" applyAlignment="1">
      <alignment horizontal="left" vertical="center"/>
    </xf>
    <xf numFmtId="0" fontId="22" fillId="0" borderId="5" xfId="0" applyFont="1" applyBorder="1" applyAlignment="1"/>
    <xf numFmtId="0" fontId="27" fillId="33" borderId="5" xfId="0" applyFont="1" applyFill="1" applyBorder="1" applyAlignment="1">
      <alignment horizontal="center" vertical="center"/>
    </xf>
    <xf numFmtId="10" fontId="22" fillId="0" borderId="5" xfId="0" applyNumberFormat="1" applyFont="1" applyBorder="1" applyAlignment="1"/>
    <xf numFmtId="0" fontId="23" fillId="35" borderId="0" xfId="0" applyFont="1" applyFill="1" applyAlignment="1">
      <alignment horizontal="center"/>
    </xf>
    <xf numFmtId="0" fontId="23" fillId="35" borderId="0" xfId="0" applyFont="1" applyFill="1" applyAlignment="1"/>
    <xf numFmtId="0" fontId="28" fillId="0" borderId="0" xfId="0" applyFont="1">
      <alignment vertical="center"/>
    </xf>
    <xf numFmtId="0" fontId="22" fillId="33" borderId="5" xfId="0" applyFont="1" applyFill="1" applyBorder="1" applyAlignment="1"/>
    <xf numFmtId="0" fontId="22" fillId="0" borderId="0" xfId="0" applyFont="1">
      <alignment vertical="center"/>
    </xf>
    <xf numFmtId="0" fontId="23" fillId="33" borderId="5" xfId="83" applyFont="1" applyFill="1" applyBorder="1" applyAlignment="1">
      <alignment horizontal="center" vertical="center"/>
    </xf>
    <xf numFmtId="0" fontId="22" fillId="33" borderId="5" xfId="83" applyFont="1" applyFill="1" applyBorder="1" applyAlignment="1">
      <alignment horizontal="left" vertical="center"/>
    </xf>
    <xf numFmtId="3" fontId="22" fillId="35" borderId="5" xfId="0" applyNumberFormat="1" applyFont="1" applyFill="1" applyBorder="1">
      <alignment vertical="center"/>
    </xf>
    <xf numFmtId="3" fontId="25" fillId="0" borderId="0" xfId="0" applyNumberFormat="1" applyFont="1">
      <alignment vertical="center"/>
    </xf>
    <xf numFmtId="3" fontId="28" fillId="0" borderId="0" xfId="0" applyNumberFormat="1" applyFont="1">
      <alignment vertical="center"/>
    </xf>
    <xf numFmtId="3" fontId="22" fillId="0" borderId="5" xfId="0" applyNumberFormat="1" applyFont="1" applyBorder="1">
      <alignment vertical="center"/>
    </xf>
    <xf numFmtId="0" fontId="25" fillId="0" borderId="0" xfId="0" applyFont="1">
      <alignment vertical="center"/>
    </xf>
    <xf numFmtId="0" fontId="29" fillId="0" borderId="0" xfId="0" applyFont="1">
      <alignment vertical="center"/>
    </xf>
    <xf numFmtId="0" fontId="25" fillId="0" borderId="0" xfId="0" applyFont="1" applyAlignment="1">
      <alignment horizontal="center"/>
    </xf>
    <xf numFmtId="0" fontId="22" fillId="33" borderId="3" xfId="0" applyFont="1" applyFill="1" applyBorder="1" applyAlignment="1">
      <alignment horizontal="left" vertical="center"/>
    </xf>
    <xf numFmtId="3" fontId="22" fillId="0" borderId="8" xfId="0" applyNumberFormat="1" applyFont="1" applyBorder="1" applyAlignment="1"/>
    <xf numFmtId="3" fontId="22" fillId="0" borderId="9" xfId="0" applyNumberFormat="1" applyFont="1" applyBorder="1" applyAlignment="1"/>
    <xf numFmtId="3" fontId="22" fillId="0" borderId="20" xfId="0" applyNumberFormat="1" applyFont="1" applyBorder="1" applyAlignment="1"/>
    <xf numFmtId="3" fontId="26" fillId="0" borderId="20" xfId="85" applyNumberFormat="1" applyFont="1" applyBorder="1" applyAlignment="1">
      <alignment horizontal="right" vertical="center"/>
    </xf>
    <xf numFmtId="0" fontId="22" fillId="36" borderId="5" xfId="0" applyFont="1" applyFill="1" applyBorder="1" applyAlignment="1">
      <alignment horizontal="center" vertical="center" wrapText="1"/>
    </xf>
    <xf numFmtId="3" fontId="30" fillId="37" borderId="21" xfId="0" applyNumberFormat="1" applyFont="1" applyFill="1" applyBorder="1" applyAlignment="1">
      <alignment horizontal="right" vertical="center"/>
    </xf>
    <xf numFmtId="0" fontId="23" fillId="33" borderId="1" xfId="0" applyFont="1" applyFill="1" applyBorder="1" applyAlignment="1">
      <alignment horizontal="center" vertical="center"/>
    </xf>
    <xf numFmtId="0" fontId="23" fillId="33" borderId="6" xfId="0" applyFont="1" applyFill="1" applyBorder="1" applyAlignment="1">
      <alignment horizontal="center" vertical="center"/>
    </xf>
    <xf numFmtId="0" fontId="23" fillId="33" borderId="2" xfId="0" applyFont="1" applyFill="1" applyBorder="1" applyAlignment="1">
      <alignment horizontal="center" vertical="center"/>
    </xf>
    <xf numFmtId="0" fontId="24" fillId="34" borderId="3" xfId="0" applyFont="1" applyFill="1" applyBorder="1" applyAlignment="1"/>
    <xf numFmtId="0" fontId="22" fillId="34" borderId="7" xfId="0" applyFont="1" applyFill="1" applyBorder="1" applyAlignment="1"/>
    <xf numFmtId="0" fontId="22" fillId="34" borderId="4" xfId="0" applyFont="1" applyFill="1" applyBorder="1" applyAlignment="1"/>
    <xf numFmtId="0" fontId="22" fillId="34" borderId="3" xfId="0" applyFont="1" applyFill="1" applyBorder="1" applyAlignment="1"/>
    <xf numFmtId="0" fontId="23" fillId="33" borderId="3" xfId="0" applyFont="1" applyFill="1" applyBorder="1" applyAlignment="1">
      <alignment horizontal="center" vertical="center"/>
    </xf>
    <xf numFmtId="0" fontId="23" fillId="33" borderId="7" xfId="0" applyFont="1" applyFill="1" applyBorder="1" applyAlignment="1">
      <alignment horizontal="center" vertical="center"/>
    </xf>
    <xf numFmtId="0" fontId="23" fillId="33" borderId="4" xfId="0" applyFont="1" applyFill="1" applyBorder="1" applyAlignment="1">
      <alignment horizontal="center" vertical="center"/>
    </xf>
    <xf numFmtId="0" fontId="22" fillId="33" borderId="8" xfId="0" applyFont="1" applyFill="1" applyBorder="1" applyAlignment="1">
      <alignment horizontal="left" vertical="center"/>
    </xf>
    <xf numFmtId="0" fontId="22" fillId="33" borderId="10" xfId="0" applyFont="1" applyFill="1" applyBorder="1" applyAlignment="1">
      <alignment horizontal="left" vertical="center"/>
    </xf>
    <xf numFmtId="0" fontId="22" fillId="33" borderId="9" xfId="0" applyFont="1" applyFill="1" applyBorder="1" applyAlignment="1">
      <alignment horizontal="left" vertical="center"/>
    </xf>
    <xf numFmtId="0" fontId="22" fillId="33" borderId="3" xfId="0" applyFont="1" applyFill="1" applyBorder="1" applyAlignment="1">
      <alignment horizontal="left" vertical="center"/>
    </xf>
    <xf numFmtId="0" fontId="22" fillId="33" borderId="4" xfId="0" applyFont="1" applyFill="1" applyBorder="1" applyAlignment="1">
      <alignment horizontal="left" vertical="center"/>
    </xf>
    <xf numFmtId="0" fontId="22" fillId="33" borderId="7" xfId="0" applyFont="1" applyFill="1" applyBorder="1" applyAlignment="1">
      <alignment horizontal="left" vertical="center"/>
    </xf>
    <xf numFmtId="0" fontId="27" fillId="33" borderId="1" xfId="0" applyFont="1" applyFill="1" applyBorder="1" applyAlignment="1">
      <alignment horizontal="center" vertical="center"/>
    </xf>
    <xf numFmtId="0" fontId="24" fillId="34" borderId="3" xfId="0" applyFont="1" applyFill="1" applyBorder="1">
      <alignment vertical="center"/>
    </xf>
    <xf numFmtId="0" fontId="22" fillId="34" borderId="4" xfId="0" applyFont="1" applyFill="1" applyBorder="1">
      <alignment vertical="center"/>
    </xf>
    <xf numFmtId="0" fontId="22" fillId="34" borderId="3" xfId="0" applyFont="1" applyFill="1" applyBorder="1">
      <alignment vertical="center"/>
    </xf>
    <xf numFmtId="0" fontId="23" fillId="33" borderId="8" xfId="0" applyFont="1" applyFill="1" applyBorder="1" applyAlignment="1">
      <alignment horizontal="center" vertical="center"/>
    </xf>
    <xf numFmtId="0" fontId="23" fillId="33" borderId="9" xfId="0" applyFont="1" applyFill="1" applyBorder="1" applyAlignment="1">
      <alignment horizontal="center" vertical="center"/>
    </xf>
  </cellXfs>
  <cellStyles count="87">
    <cellStyle name="20% - 강조색1" xfId="1" builtinId="30" customBuiltin="1"/>
    <cellStyle name="20% - 강조색1 2" xfId="2" xr:uid="{00000000-0005-0000-0000-000001000000}"/>
    <cellStyle name="20% - 강조색2" xfId="3" builtinId="34" customBuiltin="1"/>
    <cellStyle name="20% - 강조색2 2" xfId="4" xr:uid="{00000000-0005-0000-0000-000003000000}"/>
    <cellStyle name="20% - 강조색3" xfId="5" builtinId="38" customBuiltin="1"/>
    <cellStyle name="20% - 강조색3 2" xfId="6" xr:uid="{00000000-0005-0000-0000-000005000000}"/>
    <cellStyle name="20% - 강조색4" xfId="7" builtinId="42" customBuiltin="1"/>
    <cellStyle name="20% - 강조색4 2" xfId="8" xr:uid="{00000000-0005-0000-0000-000007000000}"/>
    <cellStyle name="20% - 강조색5" xfId="9" builtinId="46" customBuiltin="1"/>
    <cellStyle name="20% - 강조색5 2" xfId="10" xr:uid="{00000000-0005-0000-0000-000009000000}"/>
    <cellStyle name="20% - 강조색6" xfId="11" builtinId="50" customBuiltin="1"/>
    <cellStyle name="20% - 강조색6 2" xfId="12" xr:uid="{00000000-0005-0000-0000-00000B000000}"/>
    <cellStyle name="40% - 강조색1" xfId="13" builtinId="31" customBuiltin="1"/>
    <cellStyle name="40% - 강조색1 2" xfId="14" xr:uid="{00000000-0005-0000-0000-00000D000000}"/>
    <cellStyle name="40% - 강조색2" xfId="15" builtinId="35" customBuiltin="1"/>
    <cellStyle name="40% - 강조색2 2" xfId="16" xr:uid="{00000000-0005-0000-0000-00000F000000}"/>
    <cellStyle name="40% - 강조색3" xfId="17" builtinId="39" customBuiltin="1"/>
    <cellStyle name="40% - 강조색3 2" xfId="18" xr:uid="{00000000-0005-0000-0000-000011000000}"/>
    <cellStyle name="40% - 강조색4" xfId="19" builtinId="43" customBuiltin="1"/>
    <cellStyle name="40% - 강조색4 2" xfId="20" xr:uid="{00000000-0005-0000-0000-000013000000}"/>
    <cellStyle name="40% - 강조색5" xfId="21" builtinId="47" customBuiltin="1"/>
    <cellStyle name="40% - 강조색5 2" xfId="22" xr:uid="{00000000-0005-0000-0000-000015000000}"/>
    <cellStyle name="40% - 강조색6" xfId="23" builtinId="51" customBuiltin="1"/>
    <cellStyle name="40% - 강조색6 2" xfId="24" xr:uid="{00000000-0005-0000-0000-000017000000}"/>
    <cellStyle name="60% - 강조색1" xfId="25" builtinId="32" customBuiltin="1"/>
    <cellStyle name="60% - 강조색1 2" xfId="26" xr:uid="{00000000-0005-0000-0000-000019000000}"/>
    <cellStyle name="60% - 강조색2" xfId="27" builtinId="36" customBuiltin="1"/>
    <cellStyle name="60% - 강조색2 2" xfId="28" xr:uid="{00000000-0005-0000-0000-00001B000000}"/>
    <cellStyle name="60% - 강조색3" xfId="29" builtinId="40" customBuiltin="1"/>
    <cellStyle name="60% - 강조색3 2" xfId="30" xr:uid="{00000000-0005-0000-0000-00001D000000}"/>
    <cellStyle name="60% - 강조색4" xfId="31" builtinId="44" customBuiltin="1"/>
    <cellStyle name="60% - 강조색4 2" xfId="32" xr:uid="{00000000-0005-0000-0000-00001F000000}"/>
    <cellStyle name="60% - 강조색5" xfId="33" builtinId="48" customBuiltin="1"/>
    <cellStyle name="60% - 강조색5 2" xfId="34" xr:uid="{00000000-0005-0000-0000-000021000000}"/>
    <cellStyle name="60% - 강조색6" xfId="35" builtinId="52" customBuiltin="1"/>
    <cellStyle name="60% - 강조색6 2" xfId="36" xr:uid="{00000000-0005-0000-0000-000023000000}"/>
    <cellStyle name="강조색1" xfId="37" builtinId="29" customBuiltin="1"/>
    <cellStyle name="강조색1 2" xfId="38" xr:uid="{00000000-0005-0000-0000-000025000000}"/>
    <cellStyle name="강조색2" xfId="39" builtinId="33" customBuiltin="1"/>
    <cellStyle name="강조색2 2" xfId="40" xr:uid="{00000000-0005-0000-0000-000027000000}"/>
    <cellStyle name="강조색3" xfId="41" builtinId="37" customBuiltin="1"/>
    <cellStyle name="강조색3 2" xfId="42" xr:uid="{00000000-0005-0000-0000-000029000000}"/>
    <cellStyle name="강조색4" xfId="43" builtinId="41" customBuiltin="1"/>
    <cellStyle name="강조색4 2" xfId="44" xr:uid="{00000000-0005-0000-0000-00002B000000}"/>
    <cellStyle name="강조색5" xfId="45" builtinId="45" customBuiltin="1"/>
    <cellStyle name="강조색5 2" xfId="46" xr:uid="{00000000-0005-0000-0000-00002D000000}"/>
    <cellStyle name="강조색6" xfId="47" builtinId="49" customBuiltin="1"/>
    <cellStyle name="강조색6 2" xfId="48" xr:uid="{00000000-0005-0000-0000-00002F000000}"/>
    <cellStyle name="경고문" xfId="49" builtinId="11" customBuiltin="1"/>
    <cellStyle name="경고문 2" xfId="50" xr:uid="{00000000-0005-0000-0000-000031000000}"/>
    <cellStyle name="계산" xfId="51" builtinId="22" customBuiltin="1"/>
    <cellStyle name="계산 2" xfId="52" xr:uid="{00000000-0005-0000-0000-000033000000}"/>
    <cellStyle name="나쁨" xfId="53" builtinId="27" customBuiltin="1"/>
    <cellStyle name="나쁨 2" xfId="54" xr:uid="{00000000-0005-0000-0000-000035000000}"/>
    <cellStyle name="메모" xfId="55" builtinId="10" customBuiltin="1"/>
    <cellStyle name="메모 2" xfId="56" xr:uid="{00000000-0005-0000-0000-000037000000}"/>
    <cellStyle name="보통" xfId="57" builtinId="28" customBuiltin="1"/>
    <cellStyle name="보통 2" xfId="58" xr:uid="{00000000-0005-0000-0000-000039000000}"/>
    <cellStyle name="설명 텍스트" xfId="59" builtinId="53" customBuiltin="1"/>
    <cellStyle name="설명 텍스트 2" xfId="60" xr:uid="{00000000-0005-0000-0000-00003B000000}"/>
    <cellStyle name="셀 확인" xfId="61" builtinId="23" customBuiltin="1"/>
    <cellStyle name="셀 확인 2" xfId="62" xr:uid="{00000000-0005-0000-0000-00003D000000}"/>
    <cellStyle name="쉼표 [0] 2" xfId="86" xr:uid="{7EABEADD-5E43-4C24-8EA8-42A24C071CA5}"/>
    <cellStyle name="연결된 셀" xfId="63" builtinId="24" customBuiltin="1"/>
    <cellStyle name="연결된 셀 2" xfId="64" xr:uid="{00000000-0005-0000-0000-00003F000000}"/>
    <cellStyle name="요약" xfId="65" builtinId="25" customBuiltin="1"/>
    <cellStyle name="요약 2" xfId="66" xr:uid="{00000000-0005-0000-0000-000041000000}"/>
    <cellStyle name="입력" xfId="67" builtinId="20" customBuiltin="1"/>
    <cellStyle name="입력 2" xfId="68" xr:uid="{00000000-0005-0000-0000-000043000000}"/>
    <cellStyle name="제목" xfId="69" builtinId="15" customBuiltin="1"/>
    <cellStyle name="제목 1" xfId="70" builtinId="16" customBuiltin="1"/>
    <cellStyle name="제목 1 2" xfId="71" xr:uid="{00000000-0005-0000-0000-000046000000}"/>
    <cellStyle name="제목 2" xfId="72" builtinId="17" customBuiltin="1"/>
    <cellStyle name="제목 2 2" xfId="73" xr:uid="{00000000-0005-0000-0000-000048000000}"/>
    <cellStyle name="제목 3" xfId="74" builtinId="18" customBuiltin="1"/>
    <cellStyle name="제목 3 2" xfId="75" xr:uid="{00000000-0005-0000-0000-00004A000000}"/>
    <cellStyle name="제목 4" xfId="76" builtinId="19" customBuiltin="1"/>
    <cellStyle name="제목 4 2" xfId="77" xr:uid="{00000000-0005-0000-0000-00004C000000}"/>
    <cellStyle name="제목 5" xfId="78" xr:uid="{00000000-0005-0000-0000-00004D000000}"/>
    <cellStyle name="좋음" xfId="79" builtinId="26" customBuiltin="1"/>
    <cellStyle name="좋음 2" xfId="80" xr:uid="{00000000-0005-0000-0000-00004F000000}"/>
    <cellStyle name="출력" xfId="81" builtinId="21" customBuiltin="1"/>
    <cellStyle name="출력 2" xfId="82" xr:uid="{00000000-0005-0000-0000-000051000000}"/>
    <cellStyle name="표준" xfId="0" builtinId="0"/>
    <cellStyle name="표준 2" xfId="83" xr:uid="{00000000-0005-0000-0000-000053000000}"/>
    <cellStyle name="표준 3" xfId="84" xr:uid="{00000000-0005-0000-0000-000054000000}"/>
    <cellStyle name="표준 4" xfId="85" xr:uid="{135658BE-0E50-4012-839E-B3B9D688300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0"/>
  <sheetViews>
    <sheetView tabSelected="1" view="pageBreakPreview" zoomScaleNormal="100" zoomScaleSheetLayoutView="100" workbookViewId="0">
      <selection activeCell="D15" sqref="D15"/>
    </sheetView>
  </sheetViews>
  <sheetFormatPr defaultRowHeight="16.5" x14ac:dyDescent="0.25"/>
  <cols>
    <col min="1" max="1" width="15.375" style="1" bestFit="1" customWidth="1"/>
    <col min="2" max="2" width="25.375" style="1" customWidth="1"/>
    <col min="3" max="3" width="17.625" style="1" bestFit="1" customWidth="1"/>
    <col min="4" max="8" width="20" style="1" bestFit="1" customWidth="1"/>
    <col min="9" max="9" width="9" style="1"/>
    <col min="10" max="16384" width="9" style="26"/>
  </cols>
  <sheetData>
    <row r="2" spans="1:8" ht="17.25" thickBot="1" x14ac:dyDescent="0.3"/>
    <row r="3" spans="1:8" ht="18" thickTop="1" thickBot="1" x14ac:dyDescent="0.3">
      <c r="A3" s="45" t="s">
        <v>0</v>
      </c>
      <c r="B3" s="46"/>
      <c r="C3" s="46"/>
      <c r="D3" s="46"/>
      <c r="E3" s="46"/>
      <c r="F3" s="46"/>
      <c r="G3" s="46"/>
      <c r="H3" s="47"/>
    </row>
    <row r="4" spans="1:8" ht="17.25" thickTop="1" x14ac:dyDescent="0.25"/>
    <row r="5" spans="1:8" x14ac:dyDescent="0.25">
      <c r="A5" s="48"/>
      <c r="B5" s="49"/>
      <c r="C5" s="49"/>
      <c r="D5" s="49"/>
      <c r="E5" s="49"/>
      <c r="F5" s="49"/>
      <c r="G5" s="49"/>
      <c r="H5" s="50"/>
    </row>
    <row r="7" spans="1:8" x14ac:dyDescent="0.25">
      <c r="A7" s="4"/>
      <c r="B7" s="12"/>
      <c r="C7" s="12"/>
      <c r="D7" s="12"/>
      <c r="E7" s="12"/>
      <c r="F7" s="12"/>
      <c r="G7" s="12"/>
      <c r="H7" s="3"/>
    </row>
    <row r="8" spans="1:8" x14ac:dyDescent="0.25">
      <c r="A8" s="2"/>
      <c r="B8" s="12"/>
      <c r="C8" s="12"/>
      <c r="D8" s="12"/>
      <c r="E8" s="12"/>
      <c r="F8" s="12"/>
      <c r="G8" s="12"/>
      <c r="H8" s="3"/>
    </row>
    <row r="9" spans="1:8" x14ac:dyDescent="0.25">
      <c r="A9" s="51"/>
      <c r="B9" s="49"/>
      <c r="C9" s="49"/>
      <c r="D9" s="49"/>
      <c r="E9" s="49"/>
      <c r="F9" s="49"/>
      <c r="G9" s="49"/>
      <c r="H9" s="50"/>
    </row>
    <row r="10" spans="1:8" x14ac:dyDescent="0.25">
      <c r="D10" s="37" t="s">
        <v>1454</v>
      </c>
      <c r="E10" s="37" t="s">
        <v>1455</v>
      </c>
      <c r="F10" s="37"/>
      <c r="G10" s="37" t="s">
        <v>1456</v>
      </c>
    </row>
    <row r="11" spans="1:8" x14ac:dyDescent="0.25">
      <c r="A11" s="52" t="s">
        <v>1</v>
      </c>
      <c r="B11" s="53"/>
      <c r="C11" s="54"/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1:8" x14ac:dyDescent="0.25">
      <c r="A12" s="55" t="s">
        <v>7</v>
      </c>
      <c r="B12" s="55" t="s">
        <v>8</v>
      </c>
      <c r="C12" s="6" t="s">
        <v>9</v>
      </c>
      <c r="D12" s="7">
        <v>0</v>
      </c>
      <c r="E12" s="7">
        <v>0</v>
      </c>
      <c r="F12" s="7">
        <f>SUM(D12:E12)</f>
        <v>0</v>
      </c>
      <c r="G12" s="7">
        <v>0</v>
      </c>
      <c r="H12" s="7">
        <v>0</v>
      </c>
    </row>
    <row r="13" spans="1:8" x14ac:dyDescent="0.25">
      <c r="A13" s="56"/>
      <c r="B13" s="56"/>
      <c r="C13" s="6" t="s">
        <v>10</v>
      </c>
      <c r="D13" s="7">
        <v>0</v>
      </c>
      <c r="E13" s="7">
        <v>0</v>
      </c>
      <c r="F13" s="7">
        <f t="shared" ref="F13:F15" si="0">SUM(D13:E13)</f>
        <v>0</v>
      </c>
      <c r="G13" s="7">
        <v>0</v>
      </c>
      <c r="H13" s="7">
        <v>0</v>
      </c>
    </row>
    <row r="14" spans="1:8" x14ac:dyDescent="0.25">
      <c r="A14" s="56"/>
      <c r="B14" s="56"/>
      <c r="C14" s="6" t="s">
        <v>11</v>
      </c>
      <c r="D14" s="7">
        <v>0</v>
      </c>
      <c r="E14" s="7">
        <v>0</v>
      </c>
      <c r="F14" s="7">
        <f t="shared" si="0"/>
        <v>0</v>
      </c>
      <c r="G14" s="7">
        <v>0</v>
      </c>
      <c r="H14" s="7">
        <v>0</v>
      </c>
    </row>
    <row r="15" spans="1:8" x14ac:dyDescent="0.25">
      <c r="A15" s="56"/>
      <c r="B15" s="56"/>
      <c r="C15" s="6" t="s">
        <v>12</v>
      </c>
      <c r="D15" s="7">
        <v>0</v>
      </c>
      <c r="E15" s="7">
        <v>0</v>
      </c>
      <c r="F15" s="7">
        <f t="shared" si="0"/>
        <v>0</v>
      </c>
      <c r="G15" s="7">
        <v>0</v>
      </c>
      <c r="H15" s="7">
        <v>0</v>
      </c>
    </row>
    <row r="16" spans="1:8" x14ac:dyDescent="0.25">
      <c r="A16" s="56"/>
      <c r="B16" s="57"/>
      <c r="C16" s="6" t="s">
        <v>13</v>
      </c>
      <c r="D16" s="7">
        <f>SUM(D12:D15)</f>
        <v>0</v>
      </c>
      <c r="E16" s="7">
        <f>SUM(E12:E15)</f>
        <v>0</v>
      </c>
      <c r="F16" s="7">
        <f>SUM(F12:F15)</f>
        <v>0</v>
      </c>
      <c r="G16" s="7">
        <f>SUM(G12:G15)</f>
        <v>0</v>
      </c>
      <c r="H16" s="7">
        <f>SUM(H12:H15)</f>
        <v>0</v>
      </c>
    </row>
    <row r="17" spans="1:8" x14ac:dyDescent="0.25">
      <c r="A17" s="56"/>
      <c r="B17" s="55" t="s">
        <v>14</v>
      </c>
      <c r="C17" s="6" t="s">
        <v>9</v>
      </c>
      <c r="D17" s="7">
        <v>0</v>
      </c>
      <c r="E17" s="7">
        <v>0</v>
      </c>
      <c r="F17" s="7">
        <f>SUM(D17:E17)</f>
        <v>0</v>
      </c>
      <c r="G17" s="7">
        <v>0</v>
      </c>
      <c r="H17" s="7">
        <v>0</v>
      </c>
    </row>
    <row r="18" spans="1:8" x14ac:dyDescent="0.25">
      <c r="A18" s="56"/>
      <c r="B18" s="56"/>
      <c r="C18" s="6" t="s">
        <v>10</v>
      </c>
      <c r="D18" s="7">
        <v>0</v>
      </c>
      <c r="E18" s="7">
        <v>0</v>
      </c>
      <c r="F18" s="7">
        <f t="shared" ref="F18:F20" si="1">SUM(D18:E18)</f>
        <v>0</v>
      </c>
      <c r="G18" s="7">
        <v>0</v>
      </c>
      <c r="H18" s="7">
        <v>0</v>
      </c>
    </row>
    <row r="19" spans="1:8" x14ac:dyDescent="0.25">
      <c r="A19" s="56"/>
      <c r="B19" s="56"/>
      <c r="C19" s="6" t="s">
        <v>11</v>
      </c>
      <c r="D19" s="7">
        <v>0</v>
      </c>
      <c r="E19" s="7">
        <v>0</v>
      </c>
      <c r="F19" s="7">
        <f t="shared" si="1"/>
        <v>0</v>
      </c>
      <c r="G19" s="7">
        <v>0</v>
      </c>
      <c r="H19" s="7">
        <v>0</v>
      </c>
    </row>
    <row r="20" spans="1:8" x14ac:dyDescent="0.25">
      <c r="A20" s="56"/>
      <c r="B20" s="56"/>
      <c r="C20" s="6" t="s">
        <v>12</v>
      </c>
      <c r="D20" s="7">
        <v>0</v>
      </c>
      <c r="E20" s="7">
        <v>0</v>
      </c>
      <c r="F20" s="7">
        <f t="shared" si="1"/>
        <v>0</v>
      </c>
      <c r="G20" s="7">
        <v>0</v>
      </c>
      <c r="H20" s="7">
        <v>0</v>
      </c>
    </row>
    <row r="21" spans="1:8" x14ac:dyDescent="0.25">
      <c r="A21" s="56"/>
      <c r="B21" s="57"/>
      <c r="C21" s="6" t="s">
        <v>13</v>
      </c>
      <c r="D21" s="7">
        <f>SUM(D17:D20)</f>
        <v>0</v>
      </c>
      <c r="E21" s="7">
        <f t="shared" ref="E21:G21" si="2">SUM(E17:E20)</f>
        <v>0</v>
      </c>
      <c r="F21" s="7">
        <f t="shared" si="2"/>
        <v>0</v>
      </c>
      <c r="G21" s="7">
        <f t="shared" si="2"/>
        <v>0</v>
      </c>
      <c r="H21" s="7">
        <v>0</v>
      </c>
    </row>
    <row r="22" spans="1:8" x14ac:dyDescent="0.25">
      <c r="A22" s="56"/>
      <c r="B22" s="55" t="s">
        <v>12</v>
      </c>
      <c r="C22" s="6" t="s">
        <v>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</row>
    <row r="23" spans="1:8" x14ac:dyDescent="0.25">
      <c r="A23" s="56"/>
      <c r="B23" s="56"/>
      <c r="C23" s="6" t="s">
        <v>10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</row>
    <row r="24" spans="1:8" x14ac:dyDescent="0.25">
      <c r="A24" s="56"/>
      <c r="B24" s="56"/>
      <c r="C24" s="6" t="s">
        <v>11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</row>
    <row r="25" spans="1:8" x14ac:dyDescent="0.25">
      <c r="A25" s="56"/>
      <c r="B25" s="56"/>
      <c r="C25" s="6" t="s">
        <v>12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x14ac:dyDescent="0.25">
      <c r="A26" s="56"/>
      <c r="B26" s="57"/>
      <c r="C26" s="6" t="s">
        <v>13</v>
      </c>
      <c r="D26" s="7">
        <f>SUM(D22:D25)</f>
        <v>0</v>
      </c>
      <c r="E26" s="7">
        <f>SUM(E22:E25)</f>
        <v>0</v>
      </c>
      <c r="F26" s="7">
        <f>SUM(F22:F25)</f>
        <v>0</v>
      </c>
      <c r="G26" s="7">
        <f>SUM(G22:G25)</f>
        <v>0</v>
      </c>
      <c r="H26" s="7">
        <f>SUM(H17:H25)</f>
        <v>0</v>
      </c>
    </row>
    <row r="27" spans="1:8" x14ac:dyDescent="0.25">
      <c r="A27" s="57"/>
      <c r="B27" s="58" t="s">
        <v>15</v>
      </c>
      <c r="C27" s="59"/>
      <c r="D27" s="7">
        <f>D16+D21+D26</f>
        <v>0</v>
      </c>
      <c r="E27" s="7">
        <f t="shared" ref="E27:H27" si="3">E16+E21+E26</f>
        <v>0</v>
      </c>
      <c r="F27" s="7">
        <f t="shared" si="3"/>
        <v>0</v>
      </c>
      <c r="G27" s="7">
        <f t="shared" si="3"/>
        <v>0</v>
      </c>
      <c r="H27" s="7">
        <f t="shared" si="3"/>
        <v>0</v>
      </c>
    </row>
    <row r="28" spans="1:8" x14ac:dyDescent="0.25">
      <c r="A28" s="55" t="s">
        <v>16</v>
      </c>
      <c r="B28" s="55" t="s">
        <v>17</v>
      </c>
      <c r="C28" s="6" t="s">
        <v>18</v>
      </c>
      <c r="D28" s="9">
        <v>0</v>
      </c>
      <c r="E28" s="9">
        <v>0</v>
      </c>
      <c r="F28" s="9">
        <f>SUM(D28:E28)</f>
        <v>0</v>
      </c>
      <c r="G28" s="9">
        <v>0</v>
      </c>
      <c r="H28" s="9">
        <v>0</v>
      </c>
    </row>
    <row r="29" spans="1:8" x14ac:dyDescent="0.25">
      <c r="A29" s="56"/>
      <c r="B29" s="56"/>
      <c r="C29" s="6" t="s">
        <v>19</v>
      </c>
      <c r="D29" s="9">
        <v>0</v>
      </c>
      <c r="E29" s="9">
        <v>0</v>
      </c>
      <c r="F29" s="9">
        <f t="shared" ref="F29:F30" si="4">SUM(D29:E29)</f>
        <v>0</v>
      </c>
      <c r="G29" s="9">
        <v>0</v>
      </c>
      <c r="H29" s="9">
        <v>0</v>
      </c>
    </row>
    <row r="30" spans="1:8" x14ac:dyDescent="0.25">
      <c r="A30" s="56"/>
      <c r="B30" s="56"/>
      <c r="C30" s="6" t="s">
        <v>12</v>
      </c>
      <c r="D30" s="9">
        <v>0</v>
      </c>
      <c r="E30" s="9">
        <v>0</v>
      </c>
      <c r="F30" s="9">
        <f t="shared" si="4"/>
        <v>0</v>
      </c>
      <c r="G30" s="9">
        <v>0</v>
      </c>
      <c r="H30" s="9">
        <v>0</v>
      </c>
    </row>
    <row r="31" spans="1:8" x14ac:dyDescent="0.25">
      <c r="A31" s="56"/>
      <c r="B31" s="57"/>
      <c r="C31" s="6" t="s">
        <v>13</v>
      </c>
      <c r="D31" s="9">
        <f>SUM(D28:D30)</f>
        <v>0</v>
      </c>
      <c r="E31" s="9">
        <f t="shared" ref="E31:H31" si="5">SUM(E28:E30)</f>
        <v>0</v>
      </c>
      <c r="F31" s="9">
        <f t="shared" si="5"/>
        <v>0</v>
      </c>
      <c r="G31" s="9">
        <f t="shared" si="5"/>
        <v>0</v>
      </c>
      <c r="H31" s="9">
        <f t="shared" si="5"/>
        <v>0</v>
      </c>
    </row>
    <row r="32" spans="1:8" x14ac:dyDescent="0.25">
      <c r="A32" s="56"/>
      <c r="B32" s="55" t="s">
        <v>20</v>
      </c>
      <c r="C32" s="6" t="s">
        <v>21</v>
      </c>
      <c r="D32" s="9">
        <v>0</v>
      </c>
      <c r="E32" s="9">
        <v>0</v>
      </c>
      <c r="F32" s="9">
        <f>SUM(D32:E32)</f>
        <v>0</v>
      </c>
      <c r="G32" s="9">
        <v>0</v>
      </c>
      <c r="H32" s="9">
        <v>0</v>
      </c>
    </row>
    <row r="33" spans="1:8" x14ac:dyDescent="0.25">
      <c r="A33" s="56"/>
      <c r="B33" s="56"/>
      <c r="C33" s="6" t="s">
        <v>22</v>
      </c>
      <c r="D33" s="9">
        <v>0</v>
      </c>
      <c r="E33" s="9">
        <v>0</v>
      </c>
      <c r="F33" s="9">
        <f t="shared" ref="F33:F35" si="6">SUM(D33:E33)</f>
        <v>0</v>
      </c>
      <c r="G33" s="9">
        <v>0</v>
      </c>
      <c r="H33" s="9">
        <v>0</v>
      </c>
    </row>
    <row r="34" spans="1:8" x14ac:dyDescent="0.25">
      <c r="A34" s="56"/>
      <c r="B34" s="56"/>
      <c r="C34" s="6" t="s">
        <v>23</v>
      </c>
      <c r="D34" s="9">
        <v>0</v>
      </c>
      <c r="E34" s="9">
        <v>0</v>
      </c>
      <c r="F34" s="9">
        <f t="shared" si="6"/>
        <v>0</v>
      </c>
      <c r="G34" s="9">
        <v>0</v>
      </c>
      <c r="H34" s="9">
        <v>0</v>
      </c>
    </row>
    <row r="35" spans="1:8" x14ac:dyDescent="0.25">
      <c r="A35" s="56"/>
      <c r="B35" s="56"/>
      <c r="C35" s="6" t="s">
        <v>12</v>
      </c>
      <c r="D35" s="9">
        <v>0</v>
      </c>
      <c r="E35" s="9">
        <v>0</v>
      </c>
      <c r="F35" s="9">
        <f t="shared" si="6"/>
        <v>0</v>
      </c>
      <c r="G35" s="9">
        <v>0</v>
      </c>
      <c r="H35" s="9">
        <v>0</v>
      </c>
    </row>
    <row r="36" spans="1:8" x14ac:dyDescent="0.25">
      <c r="A36" s="56"/>
      <c r="B36" s="57"/>
      <c r="C36" s="6" t="s">
        <v>13</v>
      </c>
      <c r="D36" s="9">
        <f>SUM(D32:D35)</f>
        <v>0</v>
      </c>
      <c r="E36" s="9">
        <f t="shared" ref="E36:H36" si="7">SUM(E32:E35)</f>
        <v>0</v>
      </c>
      <c r="F36" s="9">
        <f t="shared" si="7"/>
        <v>0</v>
      </c>
      <c r="G36" s="9">
        <f t="shared" si="7"/>
        <v>0</v>
      </c>
      <c r="H36" s="9">
        <f t="shared" si="7"/>
        <v>0</v>
      </c>
    </row>
    <row r="37" spans="1:8" x14ac:dyDescent="0.25">
      <c r="A37" s="56"/>
      <c r="B37" s="55" t="s">
        <v>24</v>
      </c>
      <c r="C37" s="6" t="s">
        <v>25</v>
      </c>
      <c r="D37" s="9">
        <v>0</v>
      </c>
      <c r="E37" s="9">
        <v>0</v>
      </c>
      <c r="F37" s="9">
        <f>SUM(D37:E37)</f>
        <v>0</v>
      </c>
      <c r="G37" s="9">
        <v>0</v>
      </c>
      <c r="H37" s="9">
        <v>0</v>
      </c>
    </row>
    <row r="38" spans="1:8" x14ac:dyDescent="0.25">
      <c r="A38" s="56"/>
      <c r="B38" s="56"/>
      <c r="C38" s="6" t="s">
        <v>26</v>
      </c>
      <c r="D38" s="9">
        <v>0</v>
      </c>
      <c r="E38" s="9">
        <v>0</v>
      </c>
      <c r="F38" s="9">
        <f t="shared" ref="F38:F42" si="8">SUM(D38:E38)</f>
        <v>0</v>
      </c>
      <c r="G38" s="9">
        <v>0</v>
      </c>
      <c r="H38" s="9">
        <v>0</v>
      </c>
    </row>
    <row r="39" spans="1:8" x14ac:dyDescent="0.25">
      <c r="A39" s="56"/>
      <c r="B39" s="56"/>
      <c r="C39" s="6" t="s">
        <v>27</v>
      </c>
      <c r="D39" s="9">
        <v>0</v>
      </c>
      <c r="E39" s="9">
        <v>0</v>
      </c>
      <c r="F39" s="9">
        <f t="shared" si="8"/>
        <v>0</v>
      </c>
      <c r="G39" s="9">
        <v>0</v>
      </c>
      <c r="H39" s="9">
        <v>0</v>
      </c>
    </row>
    <row r="40" spans="1:8" x14ac:dyDescent="0.25">
      <c r="A40" s="56"/>
      <c r="B40" s="56"/>
      <c r="C40" s="6" t="s">
        <v>28</v>
      </c>
      <c r="D40" s="9">
        <v>0</v>
      </c>
      <c r="E40" s="9">
        <v>0</v>
      </c>
      <c r="F40" s="9">
        <f t="shared" si="8"/>
        <v>0</v>
      </c>
      <c r="G40" s="9">
        <v>0</v>
      </c>
      <c r="H40" s="9">
        <v>0</v>
      </c>
    </row>
    <row r="41" spans="1:8" x14ac:dyDescent="0.25">
      <c r="A41" s="56"/>
      <c r="B41" s="56"/>
      <c r="C41" s="6" t="s">
        <v>29</v>
      </c>
      <c r="D41" s="9">
        <v>0</v>
      </c>
      <c r="E41" s="9">
        <v>0</v>
      </c>
      <c r="F41" s="9">
        <f t="shared" si="8"/>
        <v>0</v>
      </c>
      <c r="G41" s="9">
        <v>0</v>
      </c>
      <c r="H41" s="9">
        <v>0</v>
      </c>
    </row>
    <row r="42" spans="1:8" x14ac:dyDescent="0.25">
      <c r="A42" s="56"/>
      <c r="B42" s="56"/>
      <c r="C42" s="6" t="s">
        <v>12</v>
      </c>
      <c r="D42" s="9">
        <v>0</v>
      </c>
      <c r="E42" s="9">
        <v>0</v>
      </c>
      <c r="F42" s="9">
        <f t="shared" si="8"/>
        <v>0</v>
      </c>
      <c r="G42" s="9">
        <v>0</v>
      </c>
      <c r="H42" s="9">
        <v>0</v>
      </c>
    </row>
    <row r="43" spans="1:8" x14ac:dyDescent="0.25">
      <c r="A43" s="56"/>
      <c r="B43" s="57"/>
      <c r="C43" s="6" t="s">
        <v>13</v>
      </c>
      <c r="D43" s="9">
        <f>SUM(D37:D42)</f>
        <v>0</v>
      </c>
      <c r="E43" s="9">
        <f t="shared" ref="E43:H43" si="9">SUM(E37:E42)</f>
        <v>0</v>
      </c>
      <c r="F43" s="9">
        <f t="shared" si="9"/>
        <v>0</v>
      </c>
      <c r="G43" s="9">
        <f t="shared" si="9"/>
        <v>0</v>
      </c>
      <c r="H43" s="9">
        <f t="shared" si="9"/>
        <v>0</v>
      </c>
    </row>
    <row r="44" spans="1:8" x14ac:dyDescent="0.25">
      <c r="A44" s="56"/>
      <c r="B44" s="58" t="s">
        <v>30</v>
      </c>
      <c r="C44" s="59"/>
      <c r="D44" s="9">
        <v>0</v>
      </c>
      <c r="E44" s="9">
        <v>0</v>
      </c>
      <c r="F44" s="9">
        <f>SUM(D44:E44)</f>
        <v>0</v>
      </c>
      <c r="G44" s="9">
        <v>0</v>
      </c>
      <c r="H44" s="9">
        <v>0</v>
      </c>
    </row>
    <row r="45" spans="1:8" x14ac:dyDescent="0.25">
      <c r="A45" s="56"/>
      <c r="B45" s="58" t="s">
        <v>31</v>
      </c>
      <c r="C45" s="59"/>
      <c r="D45" s="9">
        <v>0</v>
      </c>
      <c r="E45" s="9">
        <v>0</v>
      </c>
      <c r="F45" s="9">
        <f t="shared" ref="F45:F46" si="10">SUM(D45:E45)</f>
        <v>0</v>
      </c>
      <c r="G45" s="9">
        <v>0</v>
      </c>
      <c r="H45" s="9">
        <v>0</v>
      </c>
    </row>
    <row r="46" spans="1:8" x14ac:dyDescent="0.25">
      <c r="A46" s="56"/>
      <c r="B46" s="58" t="s">
        <v>12</v>
      </c>
      <c r="C46" s="59"/>
      <c r="D46" s="9">
        <v>0</v>
      </c>
      <c r="E46" s="9">
        <v>0</v>
      </c>
      <c r="F46" s="9">
        <f t="shared" si="10"/>
        <v>0</v>
      </c>
      <c r="G46" s="9">
        <v>0</v>
      </c>
      <c r="H46" s="9">
        <v>0</v>
      </c>
    </row>
    <row r="47" spans="1:8" x14ac:dyDescent="0.25">
      <c r="A47" s="57"/>
      <c r="B47" s="58" t="s">
        <v>15</v>
      </c>
      <c r="C47" s="59"/>
      <c r="D47" s="9">
        <f>D31+D36+D43+D44+D45+D46</f>
        <v>0</v>
      </c>
      <c r="E47" s="9">
        <f t="shared" ref="E47:H47" si="11">E31+E36+E43+E44+E45+E46</f>
        <v>0</v>
      </c>
      <c r="F47" s="9">
        <f t="shared" si="11"/>
        <v>0</v>
      </c>
      <c r="G47" s="9">
        <f t="shared" si="11"/>
        <v>0</v>
      </c>
      <c r="H47" s="9">
        <f t="shared" si="11"/>
        <v>0</v>
      </c>
    </row>
    <row r="48" spans="1:8" x14ac:dyDescent="0.25">
      <c r="A48" s="55" t="s">
        <v>32</v>
      </c>
      <c r="B48" s="58" t="s">
        <v>33</v>
      </c>
      <c r="C48" s="59"/>
      <c r="D48" s="9">
        <v>0</v>
      </c>
      <c r="E48" s="9">
        <v>0</v>
      </c>
      <c r="F48" s="9">
        <f>SUM(D48:E48)</f>
        <v>0</v>
      </c>
      <c r="G48" s="9">
        <v>0</v>
      </c>
      <c r="H48" s="9">
        <v>0</v>
      </c>
    </row>
    <row r="49" spans="1:8" x14ac:dyDescent="0.25">
      <c r="A49" s="56"/>
      <c r="B49" s="58" t="s">
        <v>12</v>
      </c>
      <c r="C49" s="59"/>
      <c r="D49" s="9">
        <v>0</v>
      </c>
      <c r="E49" s="9">
        <v>0</v>
      </c>
      <c r="F49" s="9">
        <f>SUM(D49:E49)</f>
        <v>0</v>
      </c>
      <c r="G49" s="9">
        <v>0</v>
      </c>
      <c r="H49" s="9">
        <v>0</v>
      </c>
    </row>
    <row r="50" spans="1:8" x14ac:dyDescent="0.25">
      <c r="A50" s="57"/>
      <c r="B50" s="58" t="s">
        <v>15</v>
      </c>
      <c r="C50" s="59"/>
      <c r="D50" s="9">
        <f>SUM(D48:D49)</f>
        <v>0</v>
      </c>
      <c r="E50" s="9">
        <f t="shared" ref="E50:H53" si="12">SUM(E48:E49)</f>
        <v>0</v>
      </c>
      <c r="F50" s="9">
        <f t="shared" si="12"/>
        <v>0</v>
      </c>
      <c r="G50" s="9">
        <f t="shared" si="12"/>
        <v>0</v>
      </c>
      <c r="H50" s="9">
        <f t="shared" si="12"/>
        <v>0</v>
      </c>
    </row>
    <row r="51" spans="1:8" x14ac:dyDescent="0.25">
      <c r="A51" s="58" t="s">
        <v>34</v>
      </c>
      <c r="B51" s="60"/>
      <c r="C51" s="59"/>
      <c r="D51" s="9">
        <v>0</v>
      </c>
      <c r="E51" s="9">
        <v>0</v>
      </c>
      <c r="F51" s="9">
        <f t="shared" si="12"/>
        <v>0</v>
      </c>
      <c r="G51" s="9">
        <v>0</v>
      </c>
      <c r="H51" s="9">
        <v>0</v>
      </c>
    </row>
    <row r="52" spans="1:8" x14ac:dyDescent="0.25">
      <c r="A52" s="55" t="s">
        <v>35</v>
      </c>
      <c r="B52" s="58" t="s">
        <v>7</v>
      </c>
      <c r="C52" s="59"/>
      <c r="D52" s="9">
        <v>97622470.394280359</v>
      </c>
      <c r="E52" s="9">
        <v>0</v>
      </c>
      <c r="F52" s="9">
        <f>SUM(D52:E52)</f>
        <v>97622470.394280359</v>
      </c>
      <c r="G52" s="9">
        <v>92852606</v>
      </c>
      <c r="H52" s="9">
        <v>-4769864.3942803591</v>
      </c>
    </row>
    <row r="53" spans="1:8" x14ac:dyDescent="0.25">
      <c r="A53" s="56"/>
      <c r="B53" s="55" t="s">
        <v>16</v>
      </c>
      <c r="C53" s="6" t="s">
        <v>17</v>
      </c>
      <c r="D53" s="9">
        <v>0</v>
      </c>
      <c r="E53" s="9">
        <v>0</v>
      </c>
      <c r="F53" s="9">
        <f>SUM(D53:E53)</f>
        <v>0</v>
      </c>
      <c r="G53" s="9">
        <v>0</v>
      </c>
      <c r="H53" s="9">
        <v>0</v>
      </c>
    </row>
    <row r="54" spans="1:8" x14ac:dyDescent="0.25">
      <c r="A54" s="56"/>
      <c r="B54" s="56"/>
      <c r="C54" s="6" t="s">
        <v>20</v>
      </c>
      <c r="D54" s="9">
        <v>0</v>
      </c>
      <c r="E54" s="9">
        <v>0</v>
      </c>
      <c r="F54" s="9">
        <f t="shared" ref="F54:F69" si="13">SUM(D54:E54)</f>
        <v>0</v>
      </c>
      <c r="G54" s="9">
        <v>0</v>
      </c>
      <c r="H54" s="9">
        <v>0</v>
      </c>
    </row>
    <row r="55" spans="1:8" x14ac:dyDescent="0.25">
      <c r="A55" s="56"/>
      <c r="B55" s="56"/>
      <c r="C55" s="6" t="s">
        <v>24</v>
      </c>
      <c r="D55" s="9">
        <v>0</v>
      </c>
      <c r="E55" s="9">
        <v>0</v>
      </c>
      <c r="F55" s="9">
        <f t="shared" si="13"/>
        <v>0</v>
      </c>
      <c r="G55" s="9">
        <v>0</v>
      </c>
      <c r="H55" s="9">
        <v>0</v>
      </c>
    </row>
    <row r="56" spans="1:8" x14ac:dyDescent="0.25">
      <c r="A56" s="56"/>
      <c r="B56" s="56"/>
      <c r="C56" s="6" t="s">
        <v>30</v>
      </c>
      <c r="D56" s="9">
        <v>0</v>
      </c>
      <c r="E56" s="9">
        <v>0</v>
      </c>
      <c r="F56" s="9">
        <f t="shared" si="13"/>
        <v>0</v>
      </c>
      <c r="G56" s="9">
        <v>0</v>
      </c>
      <c r="H56" s="9">
        <v>0</v>
      </c>
    </row>
    <row r="57" spans="1:8" x14ac:dyDescent="0.25">
      <c r="A57" s="56"/>
      <c r="B57" s="56"/>
      <c r="C57" s="6" t="s">
        <v>31</v>
      </c>
      <c r="D57" s="9">
        <v>0</v>
      </c>
      <c r="E57" s="9">
        <v>0</v>
      </c>
      <c r="F57" s="9">
        <f t="shared" si="13"/>
        <v>0</v>
      </c>
      <c r="G57" s="9">
        <v>0</v>
      </c>
      <c r="H57" s="9">
        <v>0</v>
      </c>
    </row>
    <row r="58" spans="1:8" x14ac:dyDescent="0.25">
      <c r="A58" s="56"/>
      <c r="B58" s="56"/>
      <c r="C58" s="6" t="s">
        <v>12</v>
      </c>
      <c r="D58" s="9">
        <v>0</v>
      </c>
      <c r="E58" s="9">
        <v>0</v>
      </c>
      <c r="F58" s="9">
        <f t="shared" si="13"/>
        <v>0</v>
      </c>
      <c r="G58" s="9">
        <v>0</v>
      </c>
      <c r="H58" s="9">
        <v>0</v>
      </c>
    </row>
    <row r="59" spans="1:8" x14ac:dyDescent="0.25">
      <c r="A59" s="56"/>
      <c r="B59" s="57"/>
      <c r="C59" s="6" t="s">
        <v>13</v>
      </c>
      <c r="D59" s="9">
        <f>SUM(D53:D58)</f>
        <v>0</v>
      </c>
      <c r="E59" s="9">
        <f t="shared" ref="E59:H59" si="14">SUM(E53:E58)</f>
        <v>0</v>
      </c>
      <c r="F59" s="9">
        <f t="shared" si="14"/>
        <v>0</v>
      </c>
      <c r="G59" s="9">
        <f t="shared" si="14"/>
        <v>0</v>
      </c>
      <c r="H59" s="9">
        <f t="shared" si="14"/>
        <v>0</v>
      </c>
    </row>
    <row r="60" spans="1:8" x14ac:dyDescent="0.25">
      <c r="A60" s="56"/>
      <c r="B60" s="58" t="s">
        <v>32</v>
      </c>
      <c r="C60" s="59"/>
      <c r="D60" s="9">
        <v>0</v>
      </c>
      <c r="E60" s="9">
        <v>0</v>
      </c>
      <c r="F60" s="9">
        <f t="shared" si="13"/>
        <v>0</v>
      </c>
      <c r="G60" s="9">
        <v>0</v>
      </c>
      <c r="H60" s="9">
        <v>0</v>
      </c>
    </row>
    <row r="61" spans="1:8" x14ac:dyDescent="0.25">
      <c r="A61" s="56"/>
      <c r="B61" s="58" t="s">
        <v>34</v>
      </c>
      <c r="C61" s="59"/>
      <c r="D61" s="9">
        <v>0</v>
      </c>
      <c r="E61" s="9">
        <v>0</v>
      </c>
      <c r="F61" s="9">
        <f t="shared" si="13"/>
        <v>0</v>
      </c>
      <c r="G61" s="9">
        <v>0</v>
      </c>
      <c r="H61" s="9">
        <v>0</v>
      </c>
    </row>
    <row r="62" spans="1:8" x14ac:dyDescent="0.25">
      <c r="A62" s="56"/>
      <c r="B62" s="58" t="s">
        <v>36</v>
      </c>
      <c r="C62" s="59"/>
      <c r="D62" s="9">
        <v>0</v>
      </c>
      <c r="E62" s="9">
        <v>0</v>
      </c>
      <c r="F62" s="9">
        <f t="shared" si="13"/>
        <v>0</v>
      </c>
      <c r="G62" s="9">
        <v>0</v>
      </c>
      <c r="H62" s="9">
        <v>0</v>
      </c>
    </row>
    <row r="63" spans="1:8" x14ac:dyDescent="0.25">
      <c r="A63" s="56"/>
      <c r="B63" s="58" t="s">
        <v>12</v>
      </c>
      <c r="C63" s="59"/>
      <c r="D63" s="9">
        <v>0</v>
      </c>
      <c r="E63" s="9">
        <v>0</v>
      </c>
      <c r="F63" s="9">
        <f t="shared" si="13"/>
        <v>0</v>
      </c>
      <c r="G63" s="9">
        <v>0</v>
      </c>
      <c r="H63" s="9">
        <v>0</v>
      </c>
    </row>
    <row r="64" spans="1:8" x14ac:dyDescent="0.25">
      <c r="A64" s="57"/>
      <c r="B64" s="58" t="s">
        <v>15</v>
      </c>
      <c r="C64" s="59"/>
      <c r="D64" s="9">
        <f>D59+D60+D61+D62+D63</f>
        <v>0</v>
      </c>
      <c r="E64" s="9">
        <f t="shared" ref="E64:H64" si="15">E59+E60+E61+E62+E63</f>
        <v>0</v>
      </c>
      <c r="F64" s="9">
        <f t="shared" si="15"/>
        <v>0</v>
      </c>
      <c r="G64" s="9">
        <f t="shared" si="15"/>
        <v>0</v>
      </c>
      <c r="H64" s="9">
        <f t="shared" si="15"/>
        <v>0</v>
      </c>
    </row>
    <row r="65" spans="1:8" x14ac:dyDescent="0.25">
      <c r="A65" s="55" t="s">
        <v>36</v>
      </c>
      <c r="B65" s="58" t="s">
        <v>37</v>
      </c>
      <c r="C65" s="59"/>
      <c r="D65" s="9">
        <v>0</v>
      </c>
      <c r="E65" s="9">
        <v>0</v>
      </c>
      <c r="F65" s="9">
        <f t="shared" si="13"/>
        <v>0</v>
      </c>
      <c r="G65" s="9">
        <v>0</v>
      </c>
      <c r="H65" s="9">
        <v>0</v>
      </c>
    </row>
    <row r="66" spans="1:8" x14ac:dyDescent="0.25">
      <c r="A66" s="56"/>
      <c r="B66" s="58" t="s">
        <v>38</v>
      </c>
      <c r="C66" s="59"/>
      <c r="D66" s="9">
        <v>0</v>
      </c>
      <c r="E66" s="9">
        <v>0</v>
      </c>
      <c r="F66" s="9">
        <f t="shared" si="13"/>
        <v>0</v>
      </c>
      <c r="G66" s="9">
        <v>0</v>
      </c>
      <c r="H66" s="9">
        <v>0</v>
      </c>
    </row>
    <row r="67" spans="1:8" x14ac:dyDescent="0.25">
      <c r="A67" s="56"/>
      <c r="B67" s="58" t="s">
        <v>12</v>
      </c>
      <c r="C67" s="59"/>
      <c r="D67" s="9">
        <v>0</v>
      </c>
      <c r="E67" s="9">
        <v>0</v>
      </c>
      <c r="F67" s="9">
        <f t="shared" si="13"/>
        <v>0</v>
      </c>
      <c r="G67" s="9">
        <v>0</v>
      </c>
      <c r="H67" s="9">
        <v>0</v>
      </c>
    </row>
    <row r="68" spans="1:8" x14ac:dyDescent="0.25">
      <c r="A68" s="57"/>
      <c r="B68" s="58" t="s">
        <v>15</v>
      </c>
      <c r="C68" s="59"/>
      <c r="D68" s="9">
        <f>SUM(D65:D67)</f>
        <v>0</v>
      </c>
      <c r="E68" s="9">
        <f t="shared" ref="E68:H68" si="16">SUM(E65:E67)</f>
        <v>0</v>
      </c>
      <c r="F68" s="9">
        <f t="shared" si="16"/>
        <v>0</v>
      </c>
      <c r="G68" s="9">
        <f t="shared" si="16"/>
        <v>0</v>
      </c>
      <c r="H68" s="9">
        <f t="shared" si="16"/>
        <v>0</v>
      </c>
    </row>
    <row r="69" spans="1:8" x14ac:dyDescent="0.25">
      <c r="A69" s="58" t="s">
        <v>39</v>
      </c>
      <c r="B69" s="60"/>
      <c r="C69" s="59"/>
      <c r="D69" s="9">
        <v>0</v>
      </c>
      <c r="E69" s="9">
        <v>0</v>
      </c>
      <c r="F69" s="9">
        <f t="shared" si="13"/>
        <v>0</v>
      </c>
      <c r="G69" s="9">
        <v>0</v>
      </c>
      <c r="H69" s="9">
        <v>0</v>
      </c>
    </row>
    <row r="70" spans="1:8" x14ac:dyDescent="0.25">
      <c r="A70" s="58" t="s">
        <v>4</v>
      </c>
      <c r="B70" s="60"/>
      <c r="C70" s="59"/>
      <c r="D70" s="9">
        <f>D27+D47+D50+D51+D64+D68+D69</f>
        <v>0</v>
      </c>
      <c r="E70" s="9">
        <f t="shared" ref="E70:H70" si="17">E27+E47+E50+E51+E64+E68+E69</f>
        <v>0</v>
      </c>
      <c r="F70" s="9">
        <f>F27+F47+F50+F51+F64+F68+F69</f>
        <v>0</v>
      </c>
      <c r="G70" s="9">
        <f t="shared" si="17"/>
        <v>0</v>
      </c>
      <c r="H70" s="9">
        <f t="shared" si="17"/>
        <v>0</v>
      </c>
    </row>
  </sheetData>
  <mergeCells count="37">
    <mergeCell ref="A70:C70"/>
    <mergeCell ref="A65:A68"/>
    <mergeCell ref="B65:C65"/>
    <mergeCell ref="B66:C66"/>
    <mergeCell ref="B67:C67"/>
    <mergeCell ref="B68:C68"/>
    <mergeCell ref="A69:C69"/>
    <mergeCell ref="A52:A64"/>
    <mergeCell ref="B52:C52"/>
    <mergeCell ref="B53:B59"/>
    <mergeCell ref="B60:C60"/>
    <mergeCell ref="B61:C61"/>
    <mergeCell ref="B62:C62"/>
    <mergeCell ref="B63:C63"/>
    <mergeCell ref="B64:C64"/>
    <mergeCell ref="A48:A50"/>
    <mergeCell ref="B48:C48"/>
    <mergeCell ref="B49:C49"/>
    <mergeCell ref="B50:C50"/>
    <mergeCell ref="A51:C51"/>
    <mergeCell ref="A28:A47"/>
    <mergeCell ref="B28:B31"/>
    <mergeCell ref="B32:B36"/>
    <mergeCell ref="B37:B43"/>
    <mergeCell ref="B44:C44"/>
    <mergeCell ref="B45:C45"/>
    <mergeCell ref="B46:C46"/>
    <mergeCell ref="B47:C47"/>
    <mergeCell ref="A3:H3"/>
    <mergeCell ref="A5:H5"/>
    <mergeCell ref="A9:H9"/>
    <mergeCell ref="A11:C11"/>
    <mergeCell ref="A12:A27"/>
    <mergeCell ref="B12:B16"/>
    <mergeCell ref="B17:B21"/>
    <mergeCell ref="B22:B26"/>
    <mergeCell ref="B27:C27"/>
  </mergeCells>
  <phoneticPr fontId="1" type="noConversion"/>
  <pageMargins left="0.7" right="0.7" top="0.75" bottom="0.75" header="0.3" footer="0.3"/>
  <pageSetup paperSize="9"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460"/>
  <sheetViews>
    <sheetView zoomScaleNormal="100" workbookViewId="0">
      <pane xSplit="1" ySplit="11" topLeftCell="B435" activePane="bottomRight" state="frozen"/>
      <selection activeCell="A7" sqref="A7"/>
      <selection pane="topRight" activeCell="A7" sqref="A7"/>
      <selection pane="bottomLeft" activeCell="A7" sqref="A7"/>
      <selection pane="bottomRight" activeCell="D465" sqref="D465"/>
    </sheetView>
  </sheetViews>
  <sheetFormatPr defaultRowHeight="16.5" x14ac:dyDescent="0.3"/>
  <cols>
    <col min="1" max="1" width="55.125" style="28" bestFit="1" customWidth="1"/>
    <col min="2" max="2" width="25.375" style="28" customWidth="1"/>
    <col min="3" max="3" width="11.875" style="28" bestFit="1" customWidth="1"/>
    <col min="4" max="4" width="11.375" style="26" bestFit="1" customWidth="1"/>
    <col min="5" max="5" width="9" style="26"/>
    <col min="6" max="6" width="10.5" style="26" bestFit="1" customWidth="1"/>
    <col min="7" max="7" width="9.5" style="26" bestFit="1" customWidth="1"/>
    <col min="8" max="16384" width="9" style="26"/>
  </cols>
  <sheetData>
    <row r="2" spans="1:4" ht="17.25" thickBot="1" x14ac:dyDescent="0.35"/>
    <row r="3" spans="1:4" ht="18" thickTop="1" thickBot="1" x14ac:dyDescent="0.35">
      <c r="A3" s="61" t="s">
        <v>1467</v>
      </c>
      <c r="B3" s="47"/>
    </row>
    <row r="4" spans="1:4" ht="17.25" thickTop="1" x14ac:dyDescent="0.3"/>
    <row r="5" spans="1:4" x14ac:dyDescent="0.3">
      <c r="A5" s="62"/>
      <c r="B5" s="63"/>
    </row>
    <row r="7" spans="1:4" x14ac:dyDescent="0.3">
      <c r="A7" s="64"/>
      <c r="B7" s="63"/>
    </row>
    <row r="8" spans="1:4" x14ac:dyDescent="0.3">
      <c r="A8" s="62"/>
      <c r="B8" s="63"/>
    </row>
    <row r="9" spans="1:4" x14ac:dyDescent="0.3">
      <c r="A9" s="64"/>
      <c r="B9" s="63"/>
    </row>
    <row r="11" spans="1:4" x14ac:dyDescent="0.3">
      <c r="A11" s="29" t="s">
        <v>1</v>
      </c>
      <c r="B11" s="5" t="s">
        <v>41</v>
      </c>
    </row>
    <row r="12" spans="1:4" x14ac:dyDescent="0.3">
      <c r="A12" s="30" t="s">
        <v>399</v>
      </c>
      <c r="B12" s="31">
        <f>B13+B70+B123+B138+B164+B169+B172+B201</f>
        <v>0</v>
      </c>
      <c r="C12" s="32">
        <v>1</v>
      </c>
      <c r="D12" s="33"/>
    </row>
    <row r="13" spans="1:4" x14ac:dyDescent="0.3">
      <c r="A13" s="30" t="s">
        <v>400</v>
      </c>
      <c r="B13" s="34">
        <f>B14+B26+B27+B30+B34+B38+B39+B44+B48+B56+B60+B65+B66+B67+B68+B69</f>
        <v>0</v>
      </c>
    </row>
    <row r="14" spans="1:4" x14ac:dyDescent="0.3">
      <c r="A14" s="30" t="s">
        <v>401</v>
      </c>
      <c r="B14" s="34">
        <v>0</v>
      </c>
    </row>
    <row r="15" spans="1:4" x14ac:dyDescent="0.3">
      <c r="A15" s="30" t="s">
        <v>1468</v>
      </c>
      <c r="B15" s="34">
        <v>0</v>
      </c>
    </row>
    <row r="16" spans="1:4" x14ac:dyDescent="0.3">
      <c r="A16" s="30" t="s">
        <v>402</v>
      </c>
      <c r="B16" s="34">
        <v>0</v>
      </c>
    </row>
    <row r="17" spans="1:7" x14ac:dyDescent="0.3">
      <c r="A17" s="30" t="s">
        <v>403</v>
      </c>
      <c r="B17" s="34">
        <v>0</v>
      </c>
    </row>
    <row r="18" spans="1:7" x14ac:dyDescent="0.3">
      <c r="A18" s="30" t="s">
        <v>404</v>
      </c>
      <c r="B18" s="34">
        <v>0</v>
      </c>
    </row>
    <row r="19" spans="1:7" x14ac:dyDescent="0.3">
      <c r="A19" s="30" t="s">
        <v>405</v>
      </c>
      <c r="B19" s="34">
        <v>0</v>
      </c>
    </row>
    <row r="20" spans="1:7" x14ac:dyDescent="0.3">
      <c r="A20" s="30" t="s">
        <v>406</v>
      </c>
      <c r="B20" s="34">
        <v>0</v>
      </c>
    </row>
    <row r="21" spans="1:7" x14ac:dyDescent="0.3">
      <c r="A21" s="30" t="s">
        <v>407</v>
      </c>
      <c r="B21" s="34">
        <v>0</v>
      </c>
    </row>
    <row r="22" spans="1:7" x14ac:dyDescent="0.3">
      <c r="A22" s="30" t="s">
        <v>408</v>
      </c>
      <c r="B22" s="34">
        <v>0</v>
      </c>
    </row>
    <row r="23" spans="1:7" x14ac:dyDescent="0.3">
      <c r="A23" s="30" t="s">
        <v>409</v>
      </c>
      <c r="B23" s="34">
        <v>0</v>
      </c>
    </row>
    <row r="24" spans="1:7" x14ac:dyDescent="0.3">
      <c r="A24" s="30" t="s">
        <v>410</v>
      </c>
      <c r="B24" s="34">
        <v>0</v>
      </c>
    </row>
    <row r="25" spans="1:7" x14ac:dyDescent="0.3">
      <c r="A25" s="30" t="s">
        <v>411</v>
      </c>
      <c r="B25" s="34">
        <v>0</v>
      </c>
    </row>
    <row r="26" spans="1:7" x14ac:dyDescent="0.3">
      <c r="A26" s="30" t="s">
        <v>412</v>
      </c>
      <c r="B26" s="34">
        <v>0</v>
      </c>
    </row>
    <row r="27" spans="1:7" x14ac:dyDescent="0.3">
      <c r="A27" s="30" t="s">
        <v>413</v>
      </c>
      <c r="B27" s="34">
        <v>0</v>
      </c>
    </row>
    <row r="28" spans="1:7" x14ac:dyDescent="0.3">
      <c r="A28" s="30" t="s">
        <v>414</v>
      </c>
      <c r="B28" s="34">
        <v>0</v>
      </c>
    </row>
    <row r="29" spans="1:7" x14ac:dyDescent="0.3">
      <c r="A29" s="30" t="s">
        <v>415</v>
      </c>
      <c r="B29" s="34">
        <v>0</v>
      </c>
    </row>
    <row r="30" spans="1:7" x14ac:dyDescent="0.3">
      <c r="A30" s="30" t="s">
        <v>416</v>
      </c>
      <c r="B30" s="34">
        <f>B31+B32+B33</f>
        <v>0</v>
      </c>
    </row>
    <row r="31" spans="1:7" x14ac:dyDescent="0.3">
      <c r="A31" s="30" t="s">
        <v>417</v>
      </c>
      <c r="B31" s="34">
        <v>0</v>
      </c>
      <c r="C31" s="35">
        <v>12</v>
      </c>
      <c r="D31" s="36" t="s">
        <v>1459</v>
      </c>
    </row>
    <row r="32" spans="1:7" x14ac:dyDescent="0.3">
      <c r="A32" s="30" t="s">
        <v>418</v>
      </c>
      <c r="B32" s="34">
        <v>0</v>
      </c>
      <c r="C32" s="35">
        <v>12</v>
      </c>
      <c r="D32" s="36" t="s">
        <v>1460</v>
      </c>
      <c r="G32" s="26" t="s">
        <v>1204</v>
      </c>
    </row>
    <row r="33" spans="1:4" x14ac:dyDescent="0.3">
      <c r="A33" s="30" t="s">
        <v>92</v>
      </c>
      <c r="B33" s="34">
        <v>0</v>
      </c>
    </row>
    <row r="34" spans="1:4" x14ac:dyDescent="0.3">
      <c r="A34" s="30" t="s">
        <v>419</v>
      </c>
      <c r="B34" s="34">
        <f>SUM(B35)</f>
        <v>0</v>
      </c>
    </row>
    <row r="35" spans="1:4" x14ac:dyDescent="0.3">
      <c r="A35" s="30" t="s">
        <v>420</v>
      </c>
      <c r="B35" s="34">
        <v>0</v>
      </c>
      <c r="C35" s="35">
        <v>12</v>
      </c>
      <c r="D35" s="36" t="s">
        <v>1458</v>
      </c>
    </row>
    <row r="36" spans="1:4" x14ac:dyDescent="0.3">
      <c r="A36" s="30" t="s">
        <v>421</v>
      </c>
      <c r="B36" s="34">
        <v>0</v>
      </c>
    </row>
    <row r="37" spans="1:4" x14ac:dyDescent="0.3">
      <c r="A37" s="30" t="s">
        <v>92</v>
      </c>
      <c r="B37" s="34">
        <v>0</v>
      </c>
    </row>
    <row r="38" spans="1:4" x14ac:dyDescent="0.3">
      <c r="A38" s="30" t="s">
        <v>422</v>
      </c>
      <c r="B38" s="34">
        <v>0</v>
      </c>
    </row>
    <row r="39" spans="1:4" x14ac:dyDescent="0.3">
      <c r="A39" s="30" t="s">
        <v>423</v>
      </c>
      <c r="B39" s="34">
        <v>0</v>
      </c>
    </row>
    <row r="40" spans="1:4" x14ac:dyDescent="0.3">
      <c r="A40" s="30" t="s">
        <v>424</v>
      </c>
      <c r="B40" s="34">
        <v>0</v>
      </c>
    </row>
    <row r="41" spans="1:4" x14ac:dyDescent="0.3">
      <c r="A41" s="30" t="s">
        <v>425</v>
      </c>
      <c r="B41" s="34">
        <v>0</v>
      </c>
    </row>
    <row r="42" spans="1:4" x14ac:dyDescent="0.3">
      <c r="A42" s="30" t="s">
        <v>426</v>
      </c>
      <c r="B42" s="34">
        <v>0</v>
      </c>
    </row>
    <row r="43" spans="1:4" x14ac:dyDescent="0.3">
      <c r="A43" s="30" t="s">
        <v>218</v>
      </c>
      <c r="B43" s="34">
        <v>0</v>
      </c>
    </row>
    <row r="44" spans="1:4" x14ac:dyDescent="0.3">
      <c r="A44" s="30" t="s">
        <v>427</v>
      </c>
      <c r="B44" s="34">
        <v>0</v>
      </c>
    </row>
    <row r="45" spans="1:4" x14ac:dyDescent="0.3">
      <c r="A45" s="30" t="s">
        <v>428</v>
      </c>
      <c r="B45" s="34">
        <v>0</v>
      </c>
    </row>
    <row r="46" spans="1:4" x14ac:dyDescent="0.3">
      <c r="A46" s="30" t="s">
        <v>429</v>
      </c>
      <c r="B46" s="34">
        <v>0</v>
      </c>
    </row>
    <row r="47" spans="1:4" x14ac:dyDescent="0.3">
      <c r="A47" s="30" t="s">
        <v>92</v>
      </c>
      <c r="B47" s="34">
        <v>0</v>
      </c>
    </row>
    <row r="48" spans="1:4" x14ac:dyDescent="0.3">
      <c r="A48" s="30" t="s">
        <v>430</v>
      </c>
      <c r="B48" s="34">
        <v>0</v>
      </c>
    </row>
    <row r="49" spans="1:2" x14ac:dyDescent="0.3">
      <c r="A49" s="30" t="s">
        <v>431</v>
      </c>
      <c r="B49" s="34">
        <v>0</v>
      </c>
    </row>
    <row r="50" spans="1:2" x14ac:dyDescent="0.3">
      <c r="A50" s="30" t="s">
        <v>432</v>
      </c>
      <c r="B50" s="34">
        <v>0</v>
      </c>
    </row>
    <row r="51" spans="1:2" x14ac:dyDescent="0.3">
      <c r="A51" s="30" t="s">
        <v>433</v>
      </c>
      <c r="B51" s="34">
        <v>0</v>
      </c>
    </row>
    <row r="52" spans="1:2" x14ac:dyDescent="0.3">
      <c r="A52" s="30" t="s">
        <v>434</v>
      </c>
      <c r="B52" s="34">
        <v>0</v>
      </c>
    </row>
    <row r="53" spans="1:2" x14ac:dyDescent="0.3">
      <c r="A53" s="30" t="s">
        <v>435</v>
      </c>
      <c r="B53" s="34">
        <v>0</v>
      </c>
    </row>
    <row r="54" spans="1:2" x14ac:dyDescent="0.3">
      <c r="A54" s="30" t="s">
        <v>436</v>
      </c>
      <c r="B54" s="34">
        <v>0</v>
      </c>
    </row>
    <row r="55" spans="1:2" x14ac:dyDescent="0.3">
      <c r="A55" s="30" t="s">
        <v>437</v>
      </c>
      <c r="B55" s="34">
        <v>0</v>
      </c>
    </row>
    <row r="56" spans="1:2" x14ac:dyDescent="0.3">
      <c r="A56" s="30" t="s">
        <v>438</v>
      </c>
      <c r="B56" s="34">
        <v>0</v>
      </c>
    </row>
    <row r="57" spans="1:2" x14ac:dyDescent="0.3">
      <c r="A57" s="30" t="s">
        <v>439</v>
      </c>
      <c r="B57" s="34">
        <v>0</v>
      </c>
    </row>
    <row r="58" spans="1:2" x14ac:dyDescent="0.3">
      <c r="A58" s="30" t="s">
        <v>440</v>
      </c>
      <c r="B58" s="34">
        <v>0</v>
      </c>
    </row>
    <row r="59" spans="1:2" x14ac:dyDescent="0.3">
      <c r="A59" s="30" t="s">
        <v>441</v>
      </c>
      <c r="B59" s="34">
        <v>0</v>
      </c>
    </row>
    <row r="60" spans="1:2" x14ac:dyDescent="0.3">
      <c r="A60" s="30" t="s">
        <v>442</v>
      </c>
      <c r="B60" s="34">
        <v>0</v>
      </c>
    </row>
    <row r="61" spans="1:2" x14ac:dyDescent="0.3">
      <c r="A61" s="30" t="s">
        <v>443</v>
      </c>
      <c r="B61" s="34">
        <v>0</v>
      </c>
    </row>
    <row r="62" spans="1:2" x14ac:dyDescent="0.3">
      <c r="A62" s="30" t="s">
        <v>444</v>
      </c>
      <c r="B62" s="34">
        <v>0</v>
      </c>
    </row>
    <row r="63" spans="1:2" x14ac:dyDescent="0.3">
      <c r="A63" s="30" t="s">
        <v>445</v>
      </c>
      <c r="B63" s="34">
        <v>0</v>
      </c>
    </row>
    <row r="64" spans="1:2" x14ac:dyDescent="0.3">
      <c r="A64" s="30" t="s">
        <v>218</v>
      </c>
      <c r="B64" s="34">
        <v>0</v>
      </c>
    </row>
    <row r="65" spans="1:3" x14ac:dyDescent="0.3">
      <c r="A65" s="30" t="s">
        <v>446</v>
      </c>
      <c r="B65" s="34">
        <v>0</v>
      </c>
    </row>
    <row r="66" spans="1:3" x14ac:dyDescent="0.3">
      <c r="A66" s="30" t="s">
        <v>447</v>
      </c>
      <c r="B66" s="34">
        <v>0</v>
      </c>
    </row>
    <row r="67" spans="1:3" x14ac:dyDescent="0.3">
      <c r="A67" s="30" t="s">
        <v>1469</v>
      </c>
      <c r="B67" s="34">
        <v>0</v>
      </c>
    </row>
    <row r="68" spans="1:3" x14ac:dyDescent="0.3">
      <c r="A68" s="30" t="s">
        <v>1488</v>
      </c>
      <c r="B68" s="34">
        <v>0</v>
      </c>
    </row>
    <row r="69" spans="1:3" x14ac:dyDescent="0.3">
      <c r="A69" s="30" t="s">
        <v>1489</v>
      </c>
      <c r="B69" s="34">
        <v>0</v>
      </c>
    </row>
    <row r="70" spans="1:3" x14ac:dyDescent="0.3">
      <c r="A70" s="30" t="s">
        <v>449</v>
      </c>
      <c r="B70" s="34">
        <f>B71+B79+B86+B92+B96+B99+B103+B107+B111+B115+B119</f>
        <v>0</v>
      </c>
    </row>
    <row r="71" spans="1:3" x14ac:dyDescent="0.3">
      <c r="A71" s="30" t="s">
        <v>450</v>
      </c>
      <c r="B71" s="34">
        <f>SUM(B72:B78)</f>
        <v>0</v>
      </c>
    </row>
    <row r="72" spans="1:3" x14ac:dyDescent="0.3">
      <c r="A72" s="30" t="s">
        <v>451</v>
      </c>
      <c r="B72" s="34">
        <v>0</v>
      </c>
      <c r="C72" s="35">
        <v>1</v>
      </c>
    </row>
    <row r="73" spans="1:3" x14ac:dyDescent="0.3">
      <c r="A73" s="30" t="s">
        <v>452</v>
      </c>
      <c r="B73" s="34">
        <v>0</v>
      </c>
    </row>
    <row r="74" spans="1:3" x14ac:dyDescent="0.3">
      <c r="A74" s="30" t="s">
        <v>453</v>
      </c>
      <c r="B74" s="34">
        <v>0</v>
      </c>
    </row>
    <row r="75" spans="1:3" x14ac:dyDescent="0.3">
      <c r="A75" s="30" t="s">
        <v>454</v>
      </c>
      <c r="B75" s="34">
        <v>0</v>
      </c>
      <c r="C75" s="35">
        <v>1</v>
      </c>
    </row>
    <row r="76" spans="1:3" x14ac:dyDescent="0.3">
      <c r="A76" s="30" t="s">
        <v>455</v>
      </c>
      <c r="B76" s="34">
        <v>0</v>
      </c>
    </row>
    <row r="77" spans="1:3" x14ac:dyDescent="0.3">
      <c r="A77" s="30" t="s">
        <v>456</v>
      </c>
      <c r="B77" s="34">
        <v>0</v>
      </c>
    </row>
    <row r="78" spans="1:3" x14ac:dyDescent="0.3">
      <c r="A78" s="30" t="s">
        <v>437</v>
      </c>
      <c r="B78" s="34">
        <v>0</v>
      </c>
    </row>
    <row r="79" spans="1:3" x14ac:dyDescent="0.3">
      <c r="A79" s="30" t="s">
        <v>457</v>
      </c>
      <c r="B79" s="34">
        <f>SUM(B80:B85)</f>
        <v>0</v>
      </c>
    </row>
    <row r="80" spans="1:3" x14ac:dyDescent="0.3">
      <c r="A80" s="30" t="s">
        <v>458</v>
      </c>
      <c r="B80" s="34">
        <v>0</v>
      </c>
      <c r="C80" s="35">
        <v>1</v>
      </c>
    </row>
    <row r="81" spans="1:3" x14ac:dyDescent="0.3">
      <c r="A81" s="30" t="s">
        <v>459</v>
      </c>
      <c r="B81" s="34">
        <v>0</v>
      </c>
    </row>
    <row r="82" spans="1:3" x14ac:dyDescent="0.3">
      <c r="A82" s="30" t="s">
        <v>460</v>
      </c>
      <c r="B82" s="34">
        <v>0</v>
      </c>
    </row>
    <row r="83" spans="1:3" x14ac:dyDescent="0.3">
      <c r="A83" s="30" t="s">
        <v>461</v>
      </c>
      <c r="B83" s="34">
        <v>0</v>
      </c>
      <c r="C83" s="35">
        <v>1</v>
      </c>
    </row>
    <row r="84" spans="1:3" x14ac:dyDescent="0.3">
      <c r="A84" s="30" t="s">
        <v>462</v>
      </c>
      <c r="B84" s="34">
        <v>0</v>
      </c>
    </row>
    <row r="85" spans="1:3" x14ac:dyDescent="0.3">
      <c r="A85" s="30" t="s">
        <v>463</v>
      </c>
      <c r="B85" s="34">
        <v>0</v>
      </c>
    </row>
    <row r="86" spans="1:3" x14ac:dyDescent="0.3">
      <c r="A86" s="30" t="s">
        <v>464</v>
      </c>
      <c r="B86" s="34">
        <f>SUM(B87:B91)</f>
        <v>0</v>
      </c>
    </row>
    <row r="87" spans="1:3" x14ac:dyDescent="0.3">
      <c r="A87" s="30" t="s">
        <v>465</v>
      </c>
      <c r="B87" s="34">
        <v>0</v>
      </c>
    </row>
    <row r="88" spans="1:3" x14ac:dyDescent="0.3">
      <c r="A88" s="30" t="s">
        <v>466</v>
      </c>
      <c r="B88" s="34">
        <v>0</v>
      </c>
    </row>
    <row r="89" spans="1:3" x14ac:dyDescent="0.3">
      <c r="A89" s="30" t="s">
        <v>467</v>
      </c>
      <c r="B89" s="34">
        <v>0</v>
      </c>
    </row>
    <row r="90" spans="1:3" x14ac:dyDescent="0.3">
      <c r="A90" s="30" t="s">
        <v>468</v>
      </c>
      <c r="B90" s="34">
        <v>0</v>
      </c>
    </row>
    <row r="91" spans="1:3" x14ac:dyDescent="0.3">
      <c r="A91" s="30" t="s">
        <v>469</v>
      </c>
      <c r="B91" s="34">
        <v>0</v>
      </c>
    </row>
    <row r="92" spans="1:3" x14ac:dyDescent="0.3">
      <c r="A92" s="30" t="s">
        <v>470</v>
      </c>
      <c r="B92" s="34">
        <v>0</v>
      </c>
    </row>
    <row r="93" spans="1:3" x14ac:dyDescent="0.3">
      <c r="A93" s="30" t="s">
        <v>471</v>
      </c>
      <c r="B93" s="34">
        <v>0</v>
      </c>
    </row>
    <row r="94" spans="1:3" x14ac:dyDescent="0.3">
      <c r="A94" s="30" t="s">
        <v>472</v>
      </c>
      <c r="B94" s="34">
        <v>0</v>
      </c>
    </row>
    <row r="95" spans="1:3" x14ac:dyDescent="0.3">
      <c r="A95" s="30" t="s">
        <v>92</v>
      </c>
      <c r="B95" s="34">
        <v>0</v>
      </c>
    </row>
    <row r="96" spans="1:3" x14ac:dyDescent="0.3">
      <c r="A96" s="30" t="s">
        <v>473</v>
      </c>
      <c r="B96" s="34">
        <v>0</v>
      </c>
    </row>
    <row r="97" spans="1:2" x14ac:dyDescent="0.3">
      <c r="A97" s="30" t="s">
        <v>474</v>
      </c>
      <c r="B97" s="34">
        <v>0</v>
      </c>
    </row>
    <row r="98" spans="1:2" x14ac:dyDescent="0.3">
      <c r="A98" s="30" t="s">
        <v>475</v>
      </c>
      <c r="B98" s="34">
        <v>0</v>
      </c>
    </row>
    <row r="99" spans="1:2" x14ac:dyDescent="0.3">
      <c r="A99" s="30" t="s">
        <v>476</v>
      </c>
      <c r="B99" s="34">
        <v>0</v>
      </c>
    </row>
    <row r="100" spans="1:2" x14ac:dyDescent="0.3">
      <c r="A100" s="30" t="s">
        <v>458</v>
      </c>
      <c r="B100" s="34">
        <v>0</v>
      </c>
    </row>
    <row r="101" spans="1:2" x14ac:dyDescent="0.3">
      <c r="A101" s="30" t="s">
        <v>477</v>
      </c>
      <c r="B101" s="34">
        <v>0</v>
      </c>
    </row>
    <row r="102" spans="1:2" x14ac:dyDescent="0.3">
      <c r="A102" s="30" t="s">
        <v>92</v>
      </c>
      <c r="B102" s="34">
        <v>0</v>
      </c>
    </row>
    <row r="103" spans="1:2" x14ac:dyDescent="0.3">
      <c r="A103" s="30" t="s">
        <v>478</v>
      </c>
      <c r="B103" s="34">
        <v>0</v>
      </c>
    </row>
    <row r="104" spans="1:2" x14ac:dyDescent="0.3">
      <c r="A104" s="30" t="s">
        <v>428</v>
      </c>
      <c r="B104" s="34">
        <v>0</v>
      </c>
    </row>
    <row r="105" spans="1:2" x14ac:dyDescent="0.3">
      <c r="A105" s="30" t="s">
        <v>429</v>
      </c>
      <c r="B105" s="34">
        <v>0</v>
      </c>
    </row>
    <row r="106" spans="1:2" x14ac:dyDescent="0.3">
      <c r="A106" s="30" t="s">
        <v>92</v>
      </c>
      <c r="B106" s="34">
        <v>0</v>
      </c>
    </row>
    <row r="107" spans="1:2" x14ac:dyDescent="0.3">
      <c r="A107" s="30" t="s">
        <v>479</v>
      </c>
      <c r="B107" s="34">
        <v>0</v>
      </c>
    </row>
    <row r="108" spans="1:2" x14ac:dyDescent="0.3">
      <c r="A108" s="30" t="s">
        <v>428</v>
      </c>
      <c r="B108" s="34">
        <v>0</v>
      </c>
    </row>
    <row r="109" spans="1:2" x14ac:dyDescent="0.3">
      <c r="A109" s="30" t="s">
        <v>429</v>
      </c>
      <c r="B109" s="34">
        <v>0</v>
      </c>
    </row>
    <row r="110" spans="1:2" x14ac:dyDescent="0.3">
      <c r="A110" s="30" t="s">
        <v>92</v>
      </c>
      <c r="B110" s="34">
        <v>0</v>
      </c>
    </row>
    <row r="111" spans="1:2" x14ac:dyDescent="0.3">
      <c r="A111" s="30" t="s">
        <v>480</v>
      </c>
      <c r="B111" s="34">
        <v>0</v>
      </c>
    </row>
    <row r="112" spans="1:2" x14ac:dyDescent="0.3">
      <c r="A112" s="30" t="s">
        <v>428</v>
      </c>
      <c r="B112" s="34">
        <v>0</v>
      </c>
    </row>
    <row r="113" spans="1:2" x14ac:dyDescent="0.3">
      <c r="A113" s="30" t="s">
        <v>429</v>
      </c>
      <c r="B113" s="34">
        <v>0</v>
      </c>
    </row>
    <row r="114" spans="1:2" x14ac:dyDescent="0.3">
      <c r="A114" s="30" t="s">
        <v>92</v>
      </c>
      <c r="B114" s="34">
        <v>0</v>
      </c>
    </row>
    <row r="115" spans="1:2" x14ac:dyDescent="0.3">
      <c r="A115" s="30" t="s">
        <v>481</v>
      </c>
      <c r="B115" s="34">
        <v>0</v>
      </c>
    </row>
    <row r="116" spans="1:2" x14ac:dyDescent="0.3">
      <c r="A116" s="30" t="s">
        <v>482</v>
      </c>
      <c r="B116" s="34">
        <v>0</v>
      </c>
    </row>
    <row r="117" spans="1:2" x14ac:dyDescent="0.3">
      <c r="A117" s="30" t="s">
        <v>483</v>
      </c>
      <c r="B117" s="34">
        <v>0</v>
      </c>
    </row>
    <row r="118" spans="1:2" x14ac:dyDescent="0.3">
      <c r="A118" s="30" t="s">
        <v>92</v>
      </c>
      <c r="B118" s="34">
        <v>0</v>
      </c>
    </row>
    <row r="119" spans="1:2" x14ac:dyDescent="0.3">
      <c r="A119" s="30" t="s">
        <v>484</v>
      </c>
      <c r="B119" s="34">
        <v>0</v>
      </c>
    </row>
    <row r="120" spans="1:2" x14ac:dyDescent="0.3">
      <c r="A120" s="30" t="s">
        <v>482</v>
      </c>
      <c r="B120" s="34">
        <v>0</v>
      </c>
    </row>
    <row r="121" spans="1:2" x14ac:dyDescent="0.3">
      <c r="A121" s="30" t="s">
        <v>483</v>
      </c>
      <c r="B121" s="34">
        <v>0</v>
      </c>
    </row>
    <row r="122" spans="1:2" x14ac:dyDescent="0.3">
      <c r="A122" s="30" t="s">
        <v>92</v>
      </c>
      <c r="B122" s="34">
        <v>0</v>
      </c>
    </row>
    <row r="123" spans="1:2" x14ac:dyDescent="0.3">
      <c r="A123" s="30" t="s">
        <v>485</v>
      </c>
      <c r="B123" s="34">
        <v>0</v>
      </c>
    </row>
    <row r="124" spans="1:2" x14ac:dyDescent="0.3">
      <c r="A124" s="30" t="s">
        <v>486</v>
      </c>
      <c r="B124" s="34">
        <v>0</v>
      </c>
    </row>
    <row r="125" spans="1:2" x14ac:dyDescent="0.3">
      <c r="A125" s="30" t="s">
        <v>487</v>
      </c>
      <c r="B125" s="34">
        <v>0</v>
      </c>
    </row>
    <row r="126" spans="1:2" x14ac:dyDescent="0.3">
      <c r="A126" s="30" t="s">
        <v>488</v>
      </c>
      <c r="B126" s="34">
        <v>0</v>
      </c>
    </row>
    <row r="127" spans="1:2" x14ac:dyDescent="0.3">
      <c r="A127" s="30" t="s">
        <v>489</v>
      </c>
      <c r="B127" s="34">
        <v>0</v>
      </c>
    </row>
    <row r="128" spans="1:2" x14ac:dyDescent="0.3">
      <c r="A128" s="30" t="s">
        <v>490</v>
      </c>
      <c r="B128" s="34">
        <v>0</v>
      </c>
    </row>
    <row r="129" spans="1:2" x14ac:dyDescent="0.3">
      <c r="A129" s="30" t="s">
        <v>491</v>
      </c>
      <c r="B129" s="34">
        <v>0</v>
      </c>
    </row>
    <row r="130" spans="1:2" x14ac:dyDescent="0.3">
      <c r="A130" s="30" t="s">
        <v>492</v>
      </c>
      <c r="B130" s="34">
        <v>0</v>
      </c>
    </row>
    <row r="131" spans="1:2" x14ac:dyDescent="0.3">
      <c r="A131" s="30" t="s">
        <v>493</v>
      </c>
      <c r="B131" s="34">
        <v>0</v>
      </c>
    </row>
    <row r="132" spans="1:2" x14ac:dyDescent="0.3">
      <c r="A132" s="30" t="s">
        <v>494</v>
      </c>
      <c r="B132" s="34">
        <v>0</v>
      </c>
    </row>
    <row r="133" spans="1:2" x14ac:dyDescent="0.3">
      <c r="A133" s="30" t="s">
        <v>495</v>
      </c>
      <c r="B133" s="34">
        <v>0</v>
      </c>
    </row>
    <row r="134" spans="1:2" x14ac:dyDescent="0.3">
      <c r="A134" s="30" t="s">
        <v>496</v>
      </c>
      <c r="B134" s="34">
        <v>0</v>
      </c>
    </row>
    <row r="135" spans="1:2" x14ac:dyDescent="0.3">
      <c r="A135" s="30" t="s">
        <v>497</v>
      </c>
      <c r="B135" s="34">
        <v>0</v>
      </c>
    </row>
    <row r="136" spans="1:2" x14ac:dyDescent="0.3">
      <c r="A136" s="30" t="s">
        <v>498</v>
      </c>
      <c r="B136" s="34">
        <v>0</v>
      </c>
    </row>
    <row r="137" spans="1:2" x14ac:dyDescent="0.3">
      <c r="A137" s="30" t="s">
        <v>499</v>
      </c>
      <c r="B137" s="34">
        <v>0</v>
      </c>
    </row>
    <row r="138" spans="1:2" x14ac:dyDescent="0.3">
      <c r="A138" s="30" t="s">
        <v>500</v>
      </c>
      <c r="B138" s="34">
        <f>B139+B145+B146+B147+B148++B149+B150+B151+B152+B153+B154+B155+B156+B157+B158+B159+B160+B161+B162+B163</f>
        <v>0</v>
      </c>
    </row>
    <row r="139" spans="1:2" x14ac:dyDescent="0.3">
      <c r="A139" s="30" t="s">
        <v>501</v>
      </c>
      <c r="B139" s="34">
        <f>SUM(B140:B144)</f>
        <v>0</v>
      </c>
    </row>
    <row r="140" spans="1:2" x14ac:dyDescent="0.3">
      <c r="A140" s="30" t="s">
        <v>502</v>
      </c>
      <c r="B140" s="34">
        <v>0</v>
      </c>
    </row>
    <row r="141" spans="1:2" x14ac:dyDescent="0.3">
      <c r="A141" s="30" t="s">
        <v>503</v>
      </c>
      <c r="B141" s="34">
        <v>0</v>
      </c>
    </row>
    <row r="142" spans="1:2" x14ac:dyDescent="0.3">
      <c r="A142" s="30" t="s">
        <v>504</v>
      </c>
      <c r="B142" s="34">
        <v>0</v>
      </c>
    </row>
    <row r="143" spans="1:2" x14ac:dyDescent="0.3">
      <c r="A143" s="30" t="s">
        <v>505</v>
      </c>
      <c r="B143" s="34">
        <v>0</v>
      </c>
    </row>
    <row r="144" spans="1:2" x14ac:dyDescent="0.3">
      <c r="A144" s="30" t="s">
        <v>469</v>
      </c>
      <c r="B144" s="34">
        <v>0</v>
      </c>
    </row>
    <row r="145" spans="1:3" x14ac:dyDescent="0.3">
      <c r="A145" s="30" t="s">
        <v>506</v>
      </c>
      <c r="B145" s="34">
        <v>0</v>
      </c>
    </row>
    <row r="146" spans="1:3" x14ac:dyDescent="0.3">
      <c r="A146" s="30" t="s">
        <v>507</v>
      </c>
      <c r="B146" s="34">
        <v>0</v>
      </c>
    </row>
    <row r="147" spans="1:3" x14ac:dyDescent="0.3">
      <c r="A147" s="30" t="s">
        <v>508</v>
      </c>
      <c r="B147" s="34">
        <v>0</v>
      </c>
    </row>
    <row r="148" spans="1:3" x14ac:dyDescent="0.3">
      <c r="A148" s="30" t="s">
        <v>509</v>
      </c>
      <c r="B148" s="34">
        <v>0</v>
      </c>
    </row>
    <row r="149" spans="1:3" x14ac:dyDescent="0.3">
      <c r="A149" s="30" t="s">
        <v>510</v>
      </c>
      <c r="B149" s="34">
        <v>0</v>
      </c>
    </row>
    <row r="150" spans="1:3" x14ac:dyDescent="0.3">
      <c r="A150" s="30" t="s">
        <v>511</v>
      </c>
      <c r="B150" s="34">
        <v>0</v>
      </c>
    </row>
    <row r="151" spans="1:3" x14ac:dyDescent="0.3">
      <c r="A151" s="30" t="s">
        <v>512</v>
      </c>
      <c r="B151" s="34">
        <v>0</v>
      </c>
    </row>
    <row r="152" spans="1:3" x14ac:dyDescent="0.3">
      <c r="A152" s="30" t="s">
        <v>513</v>
      </c>
      <c r="B152" s="34">
        <v>0</v>
      </c>
    </row>
    <row r="153" spans="1:3" x14ac:dyDescent="0.3">
      <c r="A153" s="30" t="s">
        <v>514</v>
      </c>
      <c r="B153" s="34">
        <v>0</v>
      </c>
    </row>
    <row r="154" spans="1:3" x14ac:dyDescent="0.3">
      <c r="A154" s="30" t="s">
        <v>515</v>
      </c>
      <c r="B154" s="34">
        <v>0</v>
      </c>
    </row>
    <row r="155" spans="1:3" x14ac:dyDescent="0.3">
      <c r="A155" s="30" t="s">
        <v>516</v>
      </c>
      <c r="B155" s="34">
        <v>0</v>
      </c>
    </row>
    <row r="156" spans="1:3" x14ac:dyDescent="0.3">
      <c r="A156" s="30" t="s">
        <v>517</v>
      </c>
      <c r="B156" s="34">
        <v>0</v>
      </c>
    </row>
    <row r="157" spans="1:3" x14ac:dyDescent="0.3">
      <c r="A157" s="30" t="s">
        <v>518</v>
      </c>
      <c r="B157" s="34">
        <v>0</v>
      </c>
    </row>
    <row r="158" spans="1:3" x14ac:dyDescent="0.3">
      <c r="A158" s="30" t="s">
        <v>519</v>
      </c>
      <c r="B158" s="34">
        <v>0</v>
      </c>
      <c r="C158" s="35">
        <v>1</v>
      </c>
    </row>
    <row r="159" spans="1:3" x14ac:dyDescent="0.3">
      <c r="A159" s="30" t="s">
        <v>520</v>
      </c>
      <c r="B159" s="34">
        <v>0</v>
      </c>
    </row>
    <row r="160" spans="1:3" x14ac:dyDescent="0.3">
      <c r="A160" s="30" t="s">
        <v>521</v>
      </c>
      <c r="B160" s="34">
        <v>0</v>
      </c>
    </row>
    <row r="161" spans="1:3" x14ac:dyDescent="0.3">
      <c r="A161" s="30" t="s">
        <v>522</v>
      </c>
      <c r="B161" s="34">
        <v>0</v>
      </c>
    </row>
    <row r="162" spans="1:3" x14ac:dyDescent="0.3">
      <c r="A162" s="30" t="s">
        <v>1490</v>
      </c>
      <c r="B162" s="34">
        <v>0</v>
      </c>
    </row>
    <row r="163" spans="1:3" x14ac:dyDescent="0.3">
      <c r="A163" s="30" t="s">
        <v>1491</v>
      </c>
      <c r="B163" s="34">
        <v>0</v>
      </c>
    </row>
    <row r="164" spans="1:3" x14ac:dyDescent="0.3">
      <c r="A164" s="30" t="s">
        <v>523</v>
      </c>
      <c r="B164" s="34">
        <v>0</v>
      </c>
    </row>
    <row r="165" spans="1:3" x14ac:dyDescent="0.3">
      <c r="A165" s="30" t="s">
        <v>524</v>
      </c>
      <c r="B165" s="34">
        <v>0</v>
      </c>
    </row>
    <row r="166" spans="1:3" x14ac:dyDescent="0.3">
      <c r="A166" s="30" t="s">
        <v>525</v>
      </c>
      <c r="B166" s="34">
        <v>0</v>
      </c>
    </row>
    <row r="167" spans="1:3" x14ac:dyDescent="0.3">
      <c r="A167" s="30" t="s">
        <v>526</v>
      </c>
      <c r="B167" s="34">
        <v>0</v>
      </c>
    </row>
    <row r="168" spans="1:3" x14ac:dyDescent="0.3">
      <c r="A168" s="30" t="s">
        <v>527</v>
      </c>
      <c r="B168" s="34">
        <v>0</v>
      </c>
    </row>
    <row r="169" spans="1:3" x14ac:dyDescent="0.3">
      <c r="A169" s="30" t="s">
        <v>528</v>
      </c>
      <c r="B169" s="34">
        <f>B170+B171</f>
        <v>0</v>
      </c>
    </row>
    <row r="170" spans="1:3" x14ac:dyDescent="0.3">
      <c r="A170" s="30" t="s">
        <v>529</v>
      </c>
      <c r="B170" s="34">
        <v>0</v>
      </c>
    </row>
    <row r="171" spans="1:3" x14ac:dyDescent="0.3">
      <c r="A171" s="30" t="s">
        <v>530</v>
      </c>
      <c r="B171" s="34">
        <v>0</v>
      </c>
      <c r="C171" s="35">
        <v>1</v>
      </c>
    </row>
    <row r="172" spans="1:3" x14ac:dyDescent="0.3">
      <c r="A172" s="30" t="s">
        <v>531</v>
      </c>
      <c r="B172" s="34">
        <f>B173+B174+B176+B177+B180+B181+B186+B187+B188+B193+B194+B195+B196+B197+B200+B175+B199+B198</f>
        <v>0</v>
      </c>
    </row>
    <row r="173" spans="1:3" x14ac:dyDescent="0.3">
      <c r="A173" s="30" t="s">
        <v>1492</v>
      </c>
      <c r="B173" s="34">
        <v>0</v>
      </c>
      <c r="C173" s="35">
        <v>1</v>
      </c>
    </row>
    <row r="174" spans="1:3" x14ac:dyDescent="0.3">
      <c r="A174" s="30" t="s">
        <v>1493</v>
      </c>
      <c r="B174" s="34">
        <v>0</v>
      </c>
    </row>
    <row r="175" spans="1:3" x14ac:dyDescent="0.3">
      <c r="A175" s="30" t="s">
        <v>1494</v>
      </c>
      <c r="B175" s="34">
        <v>0</v>
      </c>
    </row>
    <row r="176" spans="1:3" x14ac:dyDescent="0.3">
      <c r="A176" s="30" t="s">
        <v>1495</v>
      </c>
      <c r="B176" s="34">
        <v>0</v>
      </c>
    </row>
    <row r="177" spans="1:2" x14ac:dyDescent="0.3">
      <c r="A177" s="30" t="s">
        <v>1496</v>
      </c>
      <c r="B177" s="34">
        <v>0</v>
      </c>
    </row>
    <row r="178" spans="1:2" x14ac:dyDescent="0.3">
      <c r="A178" s="30" t="s">
        <v>532</v>
      </c>
      <c r="B178" s="34">
        <v>0</v>
      </c>
    </row>
    <row r="179" spans="1:2" x14ac:dyDescent="0.3">
      <c r="A179" s="30" t="s">
        <v>533</v>
      </c>
      <c r="B179" s="34">
        <v>0</v>
      </c>
    </row>
    <row r="180" spans="1:2" x14ac:dyDescent="0.3">
      <c r="A180" s="30" t="s">
        <v>1506</v>
      </c>
      <c r="B180" s="34">
        <v>0</v>
      </c>
    </row>
    <row r="181" spans="1:2" x14ac:dyDescent="0.3">
      <c r="A181" s="30" t="s">
        <v>1507</v>
      </c>
      <c r="B181" s="34">
        <v>0</v>
      </c>
    </row>
    <row r="182" spans="1:2" x14ac:dyDescent="0.3">
      <c r="A182" s="30" t="s">
        <v>534</v>
      </c>
      <c r="B182" s="34">
        <v>0</v>
      </c>
    </row>
    <row r="183" spans="1:2" x14ac:dyDescent="0.3">
      <c r="A183" s="30" t="s">
        <v>535</v>
      </c>
      <c r="B183" s="34">
        <v>0</v>
      </c>
    </row>
    <row r="184" spans="1:2" x14ac:dyDescent="0.3">
      <c r="A184" s="30" t="s">
        <v>536</v>
      </c>
      <c r="B184" s="34">
        <v>0</v>
      </c>
    </row>
    <row r="185" spans="1:2" x14ac:dyDescent="0.3">
      <c r="A185" s="30" t="s">
        <v>218</v>
      </c>
      <c r="B185" s="34">
        <v>0</v>
      </c>
    </row>
    <row r="186" spans="1:2" x14ac:dyDescent="0.3">
      <c r="A186" s="30" t="s">
        <v>1503</v>
      </c>
      <c r="B186" s="34">
        <v>0</v>
      </c>
    </row>
    <row r="187" spans="1:2" x14ac:dyDescent="0.3">
      <c r="A187" s="30" t="s">
        <v>1504</v>
      </c>
      <c r="B187" s="34">
        <v>0</v>
      </c>
    </row>
    <row r="188" spans="1:2" x14ac:dyDescent="0.3">
      <c r="A188" s="30" t="s">
        <v>1505</v>
      </c>
      <c r="B188" s="34">
        <v>0</v>
      </c>
    </row>
    <row r="189" spans="1:2" x14ac:dyDescent="0.3">
      <c r="A189" s="30" t="s">
        <v>537</v>
      </c>
      <c r="B189" s="34">
        <v>0</v>
      </c>
    </row>
    <row r="190" spans="1:2" x14ac:dyDescent="0.3">
      <c r="A190" s="30" t="s">
        <v>538</v>
      </c>
      <c r="B190" s="34">
        <v>0</v>
      </c>
    </row>
    <row r="191" spans="1:2" x14ac:dyDescent="0.3">
      <c r="A191" s="30" t="s">
        <v>539</v>
      </c>
      <c r="B191" s="34">
        <v>0</v>
      </c>
    </row>
    <row r="192" spans="1:2" x14ac:dyDescent="0.3">
      <c r="A192" s="30" t="s">
        <v>218</v>
      </c>
      <c r="B192" s="34">
        <v>0</v>
      </c>
    </row>
    <row r="193" spans="1:2" x14ac:dyDescent="0.3">
      <c r="A193" s="30" t="s">
        <v>1497</v>
      </c>
      <c r="B193" s="34">
        <v>0</v>
      </c>
    </row>
    <row r="194" spans="1:2" x14ac:dyDescent="0.3">
      <c r="A194" s="30" t="s">
        <v>1498</v>
      </c>
      <c r="B194" s="34">
        <v>0</v>
      </c>
    </row>
    <row r="195" spans="1:2" x14ac:dyDescent="0.3">
      <c r="A195" s="30" t="s">
        <v>1499</v>
      </c>
      <c r="B195" s="34">
        <v>0</v>
      </c>
    </row>
    <row r="196" spans="1:2" x14ac:dyDescent="0.3">
      <c r="A196" s="30" t="s">
        <v>1500</v>
      </c>
      <c r="B196" s="34">
        <v>0</v>
      </c>
    </row>
    <row r="197" spans="1:2" x14ac:dyDescent="0.3">
      <c r="A197" s="30" t="s">
        <v>1501</v>
      </c>
      <c r="B197" s="34">
        <v>0</v>
      </c>
    </row>
    <row r="198" spans="1:2" x14ac:dyDescent="0.3">
      <c r="A198" s="30" t="s">
        <v>1502</v>
      </c>
      <c r="B198" s="34">
        <v>0</v>
      </c>
    </row>
    <row r="199" spans="1:2" x14ac:dyDescent="0.3">
      <c r="A199" s="30" t="s">
        <v>1508</v>
      </c>
      <c r="B199" s="34">
        <v>0</v>
      </c>
    </row>
    <row r="200" spans="1:2" x14ac:dyDescent="0.3">
      <c r="A200" s="30" t="s">
        <v>448</v>
      </c>
      <c r="B200" s="34">
        <v>0</v>
      </c>
    </row>
    <row r="201" spans="1:2" x14ac:dyDescent="0.3">
      <c r="A201" s="30" t="s">
        <v>540</v>
      </c>
      <c r="B201" s="34">
        <f>B202+B205+B208+B212</f>
        <v>0</v>
      </c>
    </row>
    <row r="202" spans="1:2" x14ac:dyDescent="0.3">
      <c r="A202" s="30" t="s">
        <v>541</v>
      </c>
      <c r="B202" s="34">
        <v>0</v>
      </c>
    </row>
    <row r="203" spans="1:2" x14ac:dyDescent="0.3">
      <c r="A203" s="30" t="s">
        <v>542</v>
      </c>
      <c r="B203" s="34">
        <v>0</v>
      </c>
    </row>
    <row r="204" spans="1:2" x14ac:dyDescent="0.3">
      <c r="A204" s="30" t="s">
        <v>533</v>
      </c>
      <c r="B204" s="34">
        <v>0</v>
      </c>
    </row>
    <row r="205" spans="1:2" x14ac:dyDescent="0.3">
      <c r="A205" s="30" t="s">
        <v>543</v>
      </c>
      <c r="B205" s="34">
        <f>B206</f>
        <v>0</v>
      </c>
    </row>
    <row r="206" spans="1:2" x14ac:dyDescent="0.3">
      <c r="A206" s="30" t="s">
        <v>544</v>
      </c>
      <c r="B206" s="34">
        <v>0</v>
      </c>
    </row>
    <row r="207" spans="1:2" x14ac:dyDescent="0.3">
      <c r="A207" s="30" t="s">
        <v>533</v>
      </c>
      <c r="B207" s="34">
        <v>0</v>
      </c>
    </row>
    <row r="208" spans="1:2" x14ac:dyDescent="0.3">
      <c r="A208" s="30" t="s">
        <v>545</v>
      </c>
      <c r="B208" s="34">
        <v>0</v>
      </c>
    </row>
    <row r="209" spans="1:4" x14ac:dyDescent="0.3">
      <c r="A209" s="30" t="s">
        <v>546</v>
      </c>
      <c r="B209" s="34">
        <v>0</v>
      </c>
    </row>
    <row r="210" spans="1:4" x14ac:dyDescent="0.3">
      <c r="A210" s="30" t="s">
        <v>547</v>
      </c>
      <c r="B210" s="34">
        <v>0</v>
      </c>
    </row>
    <row r="211" spans="1:4" x14ac:dyDescent="0.3">
      <c r="A211" s="30" t="s">
        <v>92</v>
      </c>
      <c r="B211" s="34">
        <v>0</v>
      </c>
    </row>
    <row r="212" spans="1:4" x14ac:dyDescent="0.3">
      <c r="A212" s="30" t="s">
        <v>548</v>
      </c>
      <c r="B212" s="34">
        <v>0</v>
      </c>
    </row>
    <row r="213" spans="1:4" x14ac:dyDescent="0.3">
      <c r="A213" s="30" t="s">
        <v>549</v>
      </c>
      <c r="B213" s="34">
        <v>0</v>
      </c>
    </row>
    <row r="214" spans="1:4" x14ac:dyDescent="0.3">
      <c r="A214" s="30" t="s">
        <v>550</v>
      </c>
      <c r="B214" s="34">
        <v>0</v>
      </c>
    </row>
    <row r="215" spans="1:4" x14ac:dyDescent="0.3">
      <c r="A215" s="30" t="s">
        <v>92</v>
      </c>
      <c r="B215" s="34">
        <v>0</v>
      </c>
    </row>
    <row r="216" spans="1:4" x14ac:dyDescent="0.3">
      <c r="A216" s="30" t="s">
        <v>551</v>
      </c>
      <c r="B216" s="34">
        <v>0</v>
      </c>
    </row>
    <row r="217" spans="1:4" x14ac:dyDescent="0.3">
      <c r="A217" s="30" t="s">
        <v>552</v>
      </c>
      <c r="B217" s="31">
        <f>B218+B229+B282+B298+B316+B321+B324+B360+B383</f>
        <v>0</v>
      </c>
      <c r="C217" s="32">
        <v>1</v>
      </c>
    </row>
    <row r="218" spans="1:4" x14ac:dyDescent="0.3">
      <c r="A218" s="30" t="s">
        <v>553</v>
      </c>
      <c r="B218" s="34">
        <f>B219+B223+B224+B225+B226+B228+B227</f>
        <v>0</v>
      </c>
    </row>
    <row r="219" spans="1:4" x14ac:dyDescent="0.3">
      <c r="A219" s="30" t="s">
        <v>554</v>
      </c>
      <c r="B219" s="34">
        <f>B220+B221</f>
        <v>0</v>
      </c>
      <c r="D219" s="33"/>
    </row>
    <row r="220" spans="1:4" x14ac:dyDescent="0.3">
      <c r="A220" s="30" t="s">
        <v>555</v>
      </c>
      <c r="B220" s="34">
        <v>0</v>
      </c>
      <c r="C220" s="35">
        <v>11</v>
      </c>
    </row>
    <row r="221" spans="1:4" x14ac:dyDescent="0.3">
      <c r="A221" s="30" t="s">
        <v>556</v>
      </c>
      <c r="B221" s="34">
        <v>0</v>
      </c>
    </row>
    <row r="222" spans="1:4" x14ac:dyDescent="0.3">
      <c r="A222" s="30" t="s">
        <v>557</v>
      </c>
      <c r="B222" s="34">
        <v>0</v>
      </c>
    </row>
    <row r="223" spans="1:4" x14ac:dyDescent="0.3">
      <c r="A223" s="30" t="s">
        <v>558</v>
      </c>
      <c r="B223" s="34">
        <v>0</v>
      </c>
    </row>
    <row r="224" spans="1:4" x14ac:dyDescent="0.3">
      <c r="A224" s="30" t="s">
        <v>559</v>
      </c>
      <c r="B224" s="34">
        <v>0</v>
      </c>
    </row>
    <row r="225" spans="1:3" x14ac:dyDescent="0.3">
      <c r="A225" s="30" t="s">
        <v>560</v>
      </c>
      <c r="B225" s="34">
        <v>0</v>
      </c>
    </row>
    <row r="226" spans="1:3" x14ac:dyDescent="0.3">
      <c r="A226" s="30" t="s">
        <v>1509</v>
      </c>
      <c r="B226" s="34">
        <v>0</v>
      </c>
      <c r="C226" s="35">
        <v>11</v>
      </c>
    </row>
    <row r="227" spans="1:3" x14ac:dyDescent="0.3">
      <c r="A227" s="30" t="s">
        <v>1510</v>
      </c>
      <c r="B227" s="34">
        <v>0</v>
      </c>
      <c r="C227" s="35"/>
    </row>
    <row r="228" spans="1:3" x14ac:dyDescent="0.3">
      <c r="A228" s="30" t="s">
        <v>1511</v>
      </c>
      <c r="B228" s="34">
        <v>0</v>
      </c>
    </row>
    <row r="229" spans="1:3" x14ac:dyDescent="0.3">
      <c r="A229" s="30" t="s">
        <v>561</v>
      </c>
      <c r="B229" s="34">
        <f>B230+B238+B245</f>
        <v>0</v>
      </c>
    </row>
    <row r="230" spans="1:3" x14ac:dyDescent="0.3">
      <c r="A230" s="30" t="s">
        <v>562</v>
      </c>
      <c r="B230" s="34">
        <f>SUM(B231:B237)</f>
        <v>0</v>
      </c>
    </row>
    <row r="231" spans="1:3" x14ac:dyDescent="0.3">
      <c r="A231" s="30" t="s">
        <v>563</v>
      </c>
      <c r="B231" s="34">
        <v>0</v>
      </c>
      <c r="C231" s="35">
        <v>1</v>
      </c>
    </row>
    <row r="232" spans="1:3" x14ac:dyDescent="0.3">
      <c r="A232" s="30" t="s">
        <v>564</v>
      </c>
      <c r="B232" s="34">
        <v>0</v>
      </c>
    </row>
    <row r="233" spans="1:3" x14ac:dyDescent="0.3">
      <c r="A233" s="30" t="s">
        <v>565</v>
      </c>
      <c r="B233" s="34">
        <v>0</v>
      </c>
    </row>
    <row r="234" spans="1:3" x14ac:dyDescent="0.3">
      <c r="A234" s="30" t="s">
        <v>566</v>
      </c>
      <c r="B234" s="34">
        <v>0</v>
      </c>
    </row>
    <row r="235" spans="1:3" x14ac:dyDescent="0.3">
      <c r="A235" s="30" t="s">
        <v>567</v>
      </c>
      <c r="B235" s="34">
        <v>0</v>
      </c>
    </row>
    <row r="236" spans="1:3" x14ac:dyDescent="0.3">
      <c r="A236" s="30" t="s">
        <v>568</v>
      </c>
      <c r="B236" s="34">
        <v>0</v>
      </c>
    </row>
    <row r="237" spans="1:3" x14ac:dyDescent="0.3">
      <c r="A237" s="30" t="s">
        <v>437</v>
      </c>
      <c r="B237" s="34">
        <v>0</v>
      </c>
    </row>
    <row r="238" spans="1:3" x14ac:dyDescent="0.3">
      <c r="A238" s="30" t="s">
        <v>569</v>
      </c>
      <c r="B238" s="34">
        <f>B239</f>
        <v>0</v>
      </c>
    </row>
    <row r="239" spans="1:3" x14ac:dyDescent="0.3">
      <c r="A239" s="30" t="s">
        <v>570</v>
      </c>
      <c r="B239" s="34">
        <v>0</v>
      </c>
      <c r="C239" s="35">
        <v>1</v>
      </c>
    </row>
    <row r="240" spans="1:3" x14ac:dyDescent="0.3">
      <c r="A240" s="30" t="s">
        <v>571</v>
      </c>
      <c r="B240" s="34">
        <v>0</v>
      </c>
    </row>
    <row r="241" spans="1:2" x14ac:dyDescent="0.3">
      <c r="A241" s="30" t="s">
        <v>572</v>
      </c>
      <c r="B241" s="34">
        <v>0</v>
      </c>
    </row>
    <row r="242" spans="1:2" x14ac:dyDescent="0.3">
      <c r="A242" s="30" t="s">
        <v>573</v>
      </c>
      <c r="B242" s="34">
        <v>0</v>
      </c>
    </row>
    <row r="243" spans="1:2" x14ac:dyDescent="0.3">
      <c r="A243" s="30" t="s">
        <v>574</v>
      </c>
      <c r="B243" s="34">
        <v>0</v>
      </c>
    </row>
    <row r="244" spans="1:2" x14ac:dyDescent="0.3">
      <c r="A244" s="30" t="s">
        <v>463</v>
      </c>
      <c r="B244" s="34">
        <v>0</v>
      </c>
    </row>
    <row r="245" spans="1:2" x14ac:dyDescent="0.3">
      <c r="A245" s="30" t="s">
        <v>575</v>
      </c>
      <c r="B245" s="34">
        <f>B246+B247+B248+B249+B250</f>
        <v>0</v>
      </c>
    </row>
    <row r="246" spans="1:2" x14ac:dyDescent="0.3">
      <c r="A246" s="30" t="s">
        <v>576</v>
      </c>
      <c r="B246" s="34">
        <v>0</v>
      </c>
    </row>
    <row r="247" spans="1:2" x14ac:dyDescent="0.3">
      <c r="A247" s="30" t="s">
        <v>577</v>
      </c>
      <c r="B247" s="34">
        <v>0</v>
      </c>
    </row>
    <row r="248" spans="1:2" x14ac:dyDescent="0.3">
      <c r="A248" s="30" t="s">
        <v>578</v>
      </c>
      <c r="B248" s="34">
        <v>0</v>
      </c>
    </row>
    <row r="249" spans="1:2" x14ac:dyDescent="0.3">
      <c r="A249" s="30" t="s">
        <v>579</v>
      </c>
      <c r="B249" s="34">
        <v>0</v>
      </c>
    </row>
    <row r="250" spans="1:2" x14ac:dyDescent="0.3">
      <c r="A250" s="30" t="s">
        <v>469</v>
      </c>
      <c r="B250" s="34">
        <v>0</v>
      </c>
    </row>
    <row r="251" spans="1:2" x14ac:dyDescent="0.3">
      <c r="A251" s="30" t="s">
        <v>580</v>
      </c>
      <c r="B251" s="34">
        <v>0</v>
      </c>
    </row>
    <row r="252" spans="1:2" x14ac:dyDescent="0.3">
      <c r="A252" s="30" t="s">
        <v>576</v>
      </c>
      <c r="B252" s="34">
        <v>0</v>
      </c>
    </row>
    <row r="253" spans="1:2" x14ac:dyDescent="0.3">
      <c r="A253" s="30" t="s">
        <v>581</v>
      </c>
      <c r="B253" s="34">
        <v>0</v>
      </c>
    </row>
    <row r="254" spans="1:2" x14ac:dyDescent="0.3">
      <c r="A254" s="30" t="s">
        <v>92</v>
      </c>
      <c r="B254" s="34">
        <v>0</v>
      </c>
    </row>
    <row r="255" spans="1:2" x14ac:dyDescent="0.3">
      <c r="A255" s="30" t="s">
        <v>582</v>
      </c>
      <c r="B255" s="34">
        <v>0</v>
      </c>
    </row>
    <row r="256" spans="1:2" x14ac:dyDescent="0.3">
      <c r="A256" s="30" t="s">
        <v>583</v>
      </c>
      <c r="B256" s="34">
        <v>0</v>
      </c>
    </row>
    <row r="257" spans="1:2" x14ac:dyDescent="0.3">
      <c r="A257" s="30" t="s">
        <v>584</v>
      </c>
      <c r="B257" s="34">
        <v>0</v>
      </c>
    </row>
    <row r="258" spans="1:2" x14ac:dyDescent="0.3">
      <c r="A258" s="30" t="s">
        <v>585</v>
      </c>
      <c r="B258" s="34">
        <v>0</v>
      </c>
    </row>
    <row r="259" spans="1:2" x14ac:dyDescent="0.3">
      <c r="A259" s="30" t="s">
        <v>570</v>
      </c>
      <c r="B259" s="34">
        <v>0</v>
      </c>
    </row>
    <row r="260" spans="1:2" x14ac:dyDescent="0.3">
      <c r="A260" s="30" t="s">
        <v>586</v>
      </c>
      <c r="B260" s="34">
        <v>0</v>
      </c>
    </row>
    <row r="261" spans="1:2" x14ac:dyDescent="0.3">
      <c r="A261" s="30" t="s">
        <v>92</v>
      </c>
      <c r="B261" s="34">
        <v>0</v>
      </c>
    </row>
    <row r="262" spans="1:2" x14ac:dyDescent="0.3">
      <c r="A262" s="30" t="s">
        <v>587</v>
      </c>
      <c r="B262" s="34">
        <v>0</v>
      </c>
    </row>
    <row r="263" spans="1:2" x14ac:dyDescent="0.3">
      <c r="A263" s="30" t="s">
        <v>428</v>
      </c>
      <c r="B263" s="34">
        <v>0</v>
      </c>
    </row>
    <row r="264" spans="1:2" x14ac:dyDescent="0.3">
      <c r="A264" s="30" t="s">
        <v>429</v>
      </c>
      <c r="B264" s="34">
        <v>0</v>
      </c>
    </row>
    <row r="265" spans="1:2" x14ac:dyDescent="0.3">
      <c r="A265" s="30" t="s">
        <v>92</v>
      </c>
      <c r="B265" s="34">
        <v>0</v>
      </c>
    </row>
    <row r="266" spans="1:2" x14ac:dyDescent="0.3">
      <c r="A266" s="30" t="s">
        <v>588</v>
      </c>
      <c r="B266" s="34">
        <v>0</v>
      </c>
    </row>
    <row r="267" spans="1:2" x14ac:dyDescent="0.3">
      <c r="A267" s="30" t="s">
        <v>428</v>
      </c>
      <c r="B267" s="34">
        <v>0</v>
      </c>
    </row>
    <row r="268" spans="1:2" x14ac:dyDescent="0.3">
      <c r="A268" s="30" t="s">
        <v>429</v>
      </c>
      <c r="B268" s="34">
        <v>0</v>
      </c>
    </row>
    <row r="269" spans="1:2" x14ac:dyDescent="0.3">
      <c r="A269" s="30" t="s">
        <v>92</v>
      </c>
      <c r="B269" s="34">
        <v>0</v>
      </c>
    </row>
    <row r="270" spans="1:2" x14ac:dyDescent="0.3">
      <c r="A270" s="30" t="s">
        <v>589</v>
      </c>
      <c r="B270" s="34">
        <v>0</v>
      </c>
    </row>
    <row r="271" spans="1:2" x14ac:dyDescent="0.3">
      <c r="A271" s="30" t="s">
        <v>428</v>
      </c>
      <c r="B271" s="34">
        <v>0</v>
      </c>
    </row>
    <row r="272" spans="1:2" x14ac:dyDescent="0.3">
      <c r="A272" s="30" t="s">
        <v>429</v>
      </c>
      <c r="B272" s="34">
        <v>0</v>
      </c>
    </row>
    <row r="273" spans="1:2" x14ac:dyDescent="0.3">
      <c r="A273" s="30" t="s">
        <v>92</v>
      </c>
      <c r="B273" s="34">
        <v>0</v>
      </c>
    </row>
    <row r="274" spans="1:2" x14ac:dyDescent="0.3">
      <c r="A274" s="30" t="s">
        <v>590</v>
      </c>
      <c r="B274" s="34">
        <v>0</v>
      </c>
    </row>
    <row r="275" spans="1:2" x14ac:dyDescent="0.3">
      <c r="A275" s="30" t="s">
        <v>482</v>
      </c>
      <c r="B275" s="34">
        <v>0</v>
      </c>
    </row>
    <row r="276" spans="1:2" x14ac:dyDescent="0.3">
      <c r="A276" s="30" t="s">
        <v>483</v>
      </c>
      <c r="B276" s="34">
        <v>0</v>
      </c>
    </row>
    <row r="277" spans="1:2" x14ac:dyDescent="0.3">
      <c r="A277" s="30" t="s">
        <v>92</v>
      </c>
      <c r="B277" s="34">
        <v>0</v>
      </c>
    </row>
    <row r="278" spans="1:2" x14ac:dyDescent="0.3">
      <c r="A278" s="30" t="s">
        <v>591</v>
      </c>
      <c r="B278" s="34">
        <v>0</v>
      </c>
    </row>
    <row r="279" spans="1:2" x14ac:dyDescent="0.3">
      <c r="A279" s="30" t="s">
        <v>482</v>
      </c>
      <c r="B279" s="34">
        <v>0</v>
      </c>
    </row>
    <row r="280" spans="1:2" x14ac:dyDescent="0.3">
      <c r="A280" s="30" t="s">
        <v>483</v>
      </c>
      <c r="B280" s="34">
        <v>0</v>
      </c>
    </row>
    <row r="281" spans="1:2" x14ac:dyDescent="0.3">
      <c r="A281" s="30" t="s">
        <v>92</v>
      </c>
      <c r="B281" s="34">
        <v>0</v>
      </c>
    </row>
    <row r="282" spans="1:2" x14ac:dyDescent="0.3">
      <c r="A282" s="30" t="s">
        <v>592</v>
      </c>
      <c r="B282" s="34">
        <v>0</v>
      </c>
    </row>
    <row r="283" spans="1:2" x14ac:dyDescent="0.3">
      <c r="A283" s="30" t="s">
        <v>593</v>
      </c>
      <c r="B283" s="34">
        <v>0</v>
      </c>
    </row>
    <row r="284" spans="1:2" x14ac:dyDescent="0.3">
      <c r="A284" s="30" t="s">
        <v>594</v>
      </c>
      <c r="B284" s="34">
        <v>0</v>
      </c>
    </row>
    <row r="285" spans="1:2" x14ac:dyDescent="0.3">
      <c r="A285" s="30" t="s">
        <v>595</v>
      </c>
      <c r="B285" s="34">
        <v>0</v>
      </c>
    </row>
    <row r="286" spans="1:2" x14ac:dyDescent="0.3">
      <c r="A286" s="30" t="s">
        <v>596</v>
      </c>
      <c r="B286" s="34">
        <v>0</v>
      </c>
    </row>
    <row r="287" spans="1:2" x14ac:dyDescent="0.3">
      <c r="A287" s="30" t="s">
        <v>597</v>
      </c>
      <c r="B287" s="34">
        <v>0</v>
      </c>
    </row>
    <row r="288" spans="1:2" x14ac:dyDescent="0.3">
      <c r="A288" s="30" t="s">
        <v>598</v>
      </c>
      <c r="B288" s="34">
        <v>0</v>
      </c>
    </row>
    <row r="289" spans="1:2" x14ac:dyDescent="0.3">
      <c r="A289" s="30" t="s">
        <v>599</v>
      </c>
      <c r="B289" s="34">
        <v>0</v>
      </c>
    </row>
    <row r="290" spans="1:2" x14ac:dyDescent="0.3">
      <c r="A290" s="30" t="s">
        <v>600</v>
      </c>
      <c r="B290" s="34">
        <v>0</v>
      </c>
    </row>
    <row r="291" spans="1:2" x14ac:dyDescent="0.3">
      <c r="A291" s="30" t="s">
        <v>601</v>
      </c>
      <c r="B291" s="34">
        <v>0</v>
      </c>
    </row>
    <row r="292" spans="1:2" x14ac:dyDescent="0.3">
      <c r="A292" s="30" t="s">
        <v>602</v>
      </c>
      <c r="B292" s="34">
        <v>0</v>
      </c>
    </row>
    <row r="293" spans="1:2" x14ac:dyDescent="0.3">
      <c r="A293" s="30" t="s">
        <v>603</v>
      </c>
      <c r="B293" s="34">
        <v>0</v>
      </c>
    </row>
    <row r="294" spans="1:2" x14ac:dyDescent="0.3">
      <c r="A294" s="30" t="s">
        <v>604</v>
      </c>
      <c r="B294" s="34">
        <v>0</v>
      </c>
    </row>
    <row r="295" spans="1:2" x14ac:dyDescent="0.3">
      <c r="A295" s="30" t="s">
        <v>605</v>
      </c>
      <c r="B295" s="34">
        <v>0</v>
      </c>
    </row>
    <row r="296" spans="1:2" x14ac:dyDescent="0.3">
      <c r="A296" s="30" t="s">
        <v>606</v>
      </c>
      <c r="B296" s="34">
        <v>0</v>
      </c>
    </row>
    <row r="297" spans="1:2" x14ac:dyDescent="0.3">
      <c r="A297" s="30" t="s">
        <v>607</v>
      </c>
      <c r="B297" s="34">
        <v>0</v>
      </c>
    </row>
    <row r="298" spans="1:2" x14ac:dyDescent="0.3">
      <c r="A298" s="30" t="s">
        <v>608</v>
      </c>
      <c r="B298" s="34">
        <v>0</v>
      </c>
    </row>
    <row r="299" spans="1:2" x14ac:dyDescent="0.3">
      <c r="A299" s="30" t="s">
        <v>609</v>
      </c>
      <c r="B299" s="34">
        <v>0</v>
      </c>
    </row>
    <row r="300" spans="1:2" x14ac:dyDescent="0.3">
      <c r="A300" s="30" t="s">
        <v>610</v>
      </c>
      <c r="B300" s="34">
        <v>0</v>
      </c>
    </row>
    <row r="301" spans="1:2" x14ac:dyDescent="0.3">
      <c r="A301" s="30" t="s">
        <v>611</v>
      </c>
      <c r="B301" s="34">
        <v>0</v>
      </c>
    </row>
    <row r="302" spans="1:2" x14ac:dyDescent="0.3">
      <c r="A302" s="30" t="s">
        <v>92</v>
      </c>
      <c r="B302" s="34">
        <v>0</v>
      </c>
    </row>
    <row r="303" spans="1:2" x14ac:dyDescent="0.3">
      <c r="A303" s="30" t="s">
        <v>612</v>
      </c>
      <c r="B303" s="34">
        <v>0</v>
      </c>
    </row>
    <row r="304" spans="1:2" x14ac:dyDescent="0.3">
      <c r="A304" s="30" t="s">
        <v>613</v>
      </c>
      <c r="B304" s="34">
        <v>0</v>
      </c>
    </row>
    <row r="305" spans="1:2" x14ac:dyDescent="0.3">
      <c r="A305" s="30" t="s">
        <v>614</v>
      </c>
      <c r="B305" s="34">
        <v>0</v>
      </c>
    </row>
    <row r="306" spans="1:2" x14ac:dyDescent="0.3">
      <c r="A306" s="30" t="s">
        <v>615</v>
      </c>
      <c r="B306" s="34">
        <v>0</v>
      </c>
    </row>
    <row r="307" spans="1:2" x14ac:dyDescent="0.3">
      <c r="A307" s="30" t="s">
        <v>616</v>
      </c>
      <c r="B307" s="34">
        <v>0</v>
      </c>
    </row>
    <row r="308" spans="1:2" x14ac:dyDescent="0.3">
      <c r="A308" s="30" t="s">
        <v>617</v>
      </c>
      <c r="B308" s="34">
        <v>0</v>
      </c>
    </row>
    <row r="309" spans="1:2" x14ac:dyDescent="0.3">
      <c r="A309" s="30" t="s">
        <v>618</v>
      </c>
      <c r="B309" s="34">
        <v>0</v>
      </c>
    </row>
    <row r="310" spans="1:2" x14ac:dyDescent="0.3">
      <c r="A310" s="30" t="s">
        <v>619</v>
      </c>
      <c r="B310" s="34">
        <v>0</v>
      </c>
    </row>
    <row r="311" spans="1:2" x14ac:dyDescent="0.3">
      <c r="A311" s="30" t="s">
        <v>1515</v>
      </c>
      <c r="B311" s="34">
        <v>0</v>
      </c>
    </row>
    <row r="312" spans="1:2" x14ac:dyDescent="0.3">
      <c r="A312" s="30" t="s">
        <v>1516</v>
      </c>
      <c r="B312" s="34">
        <v>0</v>
      </c>
    </row>
    <row r="313" spans="1:2" x14ac:dyDescent="0.3">
      <c r="A313" s="30" t="s">
        <v>1512</v>
      </c>
      <c r="B313" s="34">
        <v>0</v>
      </c>
    </row>
    <row r="314" spans="1:2" x14ac:dyDescent="0.3">
      <c r="A314" s="30" t="s">
        <v>1513</v>
      </c>
      <c r="B314" s="34">
        <v>0</v>
      </c>
    </row>
    <row r="315" spans="1:2" x14ac:dyDescent="0.3">
      <c r="A315" s="30" t="s">
        <v>1514</v>
      </c>
      <c r="B315" s="34">
        <v>0</v>
      </c>
    </row>
    <row r="316" spans="1:2" x14ac:dyDescent="0.3">
      <c r="A316" s="30" t="s">
        <v>620</v>
      </c>
      <c r="B316" s="34">
        <v>0</v>
      </c>
    </row>
    <row r="317" spans="1:2" x14ac:dyDescent="0.3">
      <c r="A317" s="30" t="s">
        <v>621</v>
      </c>
      <c r="B317" s="34">
        <v>0</v>
      </c>
    </row>
    <row r="318" spans="1:2" x14ac:dyDescent="0.3">
      <c r="A318" s="30" t="s">
        <v>622</v>
      </c>
      <c r="B318" s="34">
        <v>0</v>
      </c>
    </row>
    <row r="319" spans="1:2" x14ac:dyDescent="0.3">
      <c r="A319" s="30" t="s">
        <v>623</v>
      </c>
      <c r="B319" s="34">
        <v>0</v>
      </c>
    </row>
    <row r="320" spans="1:2" x14ac:dyDescent="0.3">
      <c r="A320" s="30" t="s">
        <v>100</v>
      </c>
      <c r="B320" s="34">
        <v>0</v>
      </c>
    </row>
    <row r="321" spans="1:4" x14ac:dyDescent="0.3">
      <c r="A321" s="30" t="s">
        <v>624</v>
      </c>
      <c r="B321" s="34">
        <f>B322+B323</f>
        <v>0</v>
      </c>
    </row>
    <row r="322" spans="1:4" x14ac:dyDescent="0.3">
      <c r="A322" s="30" t="s">
        <v>625</v>
      </c>
      <c r="B322" s="34">
        <v>0</v>
      </c>
    </row>
    <row r="323" spans="1:4" x14ac:dyDescent="0.3">
      <c r="A323" s="30" t="s">
        <v>626</v>
      </c>
      <c r="B323" s="34">
        <v>0</v>
      </c>
    </row>
    <row r="324" spans="1:4" x14ac:dyDescent="0.3">
      <c r="A324" s="30" t="s">
        <v>627</v>
      </c>
      <c r="B324" s="34">
        <f>B325+B328+B335+B336+B337+B338+B339+B340+B341+B342+B343+B344+B345+B346++B351+B352+B353+B354+B355+B356+B357+B358+B359+B347</f>
        <v>0</v>
      </c>
    </row>
    <row r="325" spans="1:4" x14ac:dyDescent="0.3">
      <c r="A325" s="30" t="s">
        <v>628</v>
      </c>
      <c r="B325" s="34">
        <f>B326+B327</f>
        <v>0</v>
      </c>
    </row>
    <row r="326" spans="1:4" x14ac:dyDescent="0.3">
      <c r="A326" s="30" t="s">
        <v>629</v>
      </c>
      <c r="B326" s="34">
        <v>0</v>
      </c>
      <c r="C326" s="35">
        <v>1</v>
      </c>
    </row>
    <row r="327" spans="1:4" x14ac:dyDescent="0.3">
      <c r="A327" s="30" t="s">
        <v>630</v>
      </c>
      <c r="B327" s="34">
        <v>0</v>
      </c>
      <c r="C327" s="35">
        <v>1</v>
      </c>
      <c r="D327" s="26" t="s">
        <v>45</v>
      </c>
    </row>
    <row r="328" spans="1:4" x14ac:dyDescent="0.3">
      <c r="A328" s="30" t="s">
        <v>631</v>
      </c>
      <c r="B328" s="34">
        <f>B329+B332</f>
        <v>0</v>
      </c>
    </row>
    <row r="329" spans="1:4" x14ac:dyDescent="0.3">
      <c r="A329" s="30" t="s">
        <v>629</v>
      </c>
      <c r="B329" s="34">
        <f>B330</f>
        <v>0</v>
      </c>
    </row>
    <row r="330" spans="1:4" x14ac:dyDescent="0.3">
      <c r="A330" s="30" t="s">
        <v>632</v>
      </c>
      <c r="B330" s="34">
        <v>0</v>
      </c>
    </row>
    <row r="331" spans="1:4" x14ac:dyDescent="0.3">
      <c r="A331" s="30" t="s">
        <v>633</v>
      </c>
      <c r="B331" s="34">
        <v>0</v>
      </c>
    </row>
    <row r="332" spans="1:4" x14ac:dyDescent="0.3">
      <c r="A332" s="30" t="s">
        <v>630</v>
      </c>
      <c r="B332" s="34">
        <f>B333+B334</f>
        <v>0</v>
      </c>
    </row>
    <row r="333" spans="1:4" x14ac:dyDescent="0.3">
      <c r="A333" s="30" t="s">
        <v>632</v>
      </c>
      <c r="B333" s="34">
        <v>0</v>
      </c>
      <c r="C333" s="35">
        <v>1</v>
      </c>
    </row>
    <row r="334" spans="1:4" x14ac:dyDescent="0.3">
      <c r="A334" s="30" t="s">
        <v>633</v>
      </c>
      <c r="B334" s="34">
        <v>0</v>
      </c>
    </row>
    <row r="335" spans="1:4" x14ac:dyDescent="0.3">
      <c r="A335" s="30" t="s">
        <v>634</v>
      </c>
      <c r="B335" s="34">
        <v>0</v>
      </c>
    </row>
    <row r="336" spans="1:4" x14ac:dyDescent="0.3">
      <c r="A336" s="30" t="s">
        <v>635</v>
      </c>
      <c r="B336" s="34">
        <v>0</v>
      </c>
      <c r="C336" s="35">
        <v>1</v>
      </c>
    </row>
    <row r="337" spans="1:3" x14ac:dyDescent="0.3">
      <c r="A337" s="30" t="s">
        <v>636</v>
      </c>
      <c r="B337" s="34">
        <v>0</v>
      </c>
      <c r="C337" s="35">
        <v>11</v>
      </c>
    </row>
    <row r="338" spans="1:3" x14ac:dyDescent="0.3">
      <c r="A338" s="30" t="s">
        <v>637</v>
      </c>
      <c r="B338" s="34">
        <v>0</v>
      </c>
      <c r="C338" s="35">
        <v>1</v>
      </c>
    </row>
    <row r="339" spans="1:3" x14ac:dyDescent="0.3">
      <c r="A339" s="30" t="s">
        <v>638</v>
      </c>
      <c r="B339" s="34">
        <v>0</v>
      </c>
      <c r="C339" s="35">
        <v>11</v>
      </c>
    </row>
    <row r="340" spans="1:3" x14ac:dyDescent="0.3">
      <c r="A340" s="30" t="s">
        <v>639</v>
      </c>
      <c r="B340" s="34">
        <v>0</v>
      </c>
      <c r="C340" s="35">
        <v>1</v>
      </c>
    </row>
    <row r="341" spans="1:3" x14ac:dyDescent="0.3">
      <c r="A341" s="30" t="s">
        <v>640</v>
      </c>
      <c r="B341" s="34">
        <v>0</v>
      </c>
    </row>
    <row r="342" spans="1:3" x14ac:dyDescent="0.3">
      <c r="A342" s="30" t="s">
        <v>641</v>
      </c>
      <c r="B342" s="34">
        <v>0</v>
      </c>
    </row>
    <row r="343" spans="1:3" x14ac:dyDescent="0.3">
      <c r="A343" s="30" t="s">
        <v>642</v>
      </c>
      <c r="B343" s="34">
        <v>0</v>
      </c>
    </row>
    <row r="344" spans="1:3" x14ac:dyDescent="0.3">
      <c r="A344" s="30" t="s">
        <v>643</v>
      </c>
      <c r="B344" s="34">
        <v>0</v>
      </c>
    </row>
    <row r="345" spans="1:3" x14ac:dyDescent="0.3">
      <c r="A345" s="30" t="s">
        <v>644</v>
      </c>
      <c r="B345" s="34">
        <v>0</v>
      </c>
    </row>
    <row r="346" spans="1:3" x14ac:dyDescent="0.3">
      <c r="A346" s="30" t="s">
        <v>645</v>
      </c>
      <c r="B346" s="34">
        <v>0</v>
      </c>
      <c r="C346" s="35">
        <v>1</v>
      </c>
    </row>
    <row r="347" spans="1:3" x14ac:dyDescent="0.3">
      <c r="A347" s="30" t="s">
        <v>646</v>
      </c>
      <c r="B347" s="34">
        <v>0</v>
      </c>
      <c r="C347" s="35">
        <v>11</v>
      </c>
    </row>
    <row r="348" spans="1:3" x14ac:dyDescent="0.3">
      <c r="A348" s="30" t="s">
        <v>647</v>
      </c>
      <c r="B348" s="34">
        <v>0</v>
      </c>
    </row>
    <row r="349" spans="1:3" x14ac:dyDescent="0.3">
      <c r="A349" s="30" t="s">
        <v>648</v>
      </c>
      <c r="B349" s="34">
        <v>0</v>
      </c>
    </row>
    <row r="350" spans="1:3" x14ac:dyDescent="0.3">
      <c r="A350" s="30" t="s">
        <v>649</v>
      </c>
      <c r="B350" s="34">
        <v>0</v>
      </c>
    </row>
    <row r="351" spans="1:3" x14ac:dyDescent="0.3">
      <c r="A351" s="30" t="s">
        <v>650</v>
      </c>
      <c r="B351" s="34">
        <v>0</v>
      </c>
    </row>
    <row r="352" spans="1:3" x14ac:dyDescent="0.3">
      <c r="A352" s="30" t="s">
        <v>651</v>
      </c>
      <c r="B352" s="34">
        <v>0</v>
      </c>
      <c r="C352" s="35">
        <v>1</v>
      </c>
    </row>
    <row r="353" spans="1:4" x14ac:dyDescent="0.3">
      <c r="A353" s="30" t="s">
        <v>652</v>
      </c>
      <c r="B353" s="34">
        <v>0</v>
      </c>
      <c r="C353" s="35">
        <v>1</v>
      </c>
    </row>
    <row r="354" spans="1:4" x14ac:dyDescent="0.3">
      <c r="A354" s="30" t="s">
        <v>653</v>
      </c>
      <c r="B354" s="34">
        <v>0</v>
      </c>
      <c r="C354" s="35">
        <v>1</v>
      </c>
    </row>
    <row r="355" spans="1:4" x14ac:dyDescent="0.3">
      <c r="A355" s="30" t="s">
        <v>654</v>
      </c>
      <c r="B355" s="34">
        <v>0</v>
      </c>
      <c r="C355" s="35">
        <v>1</v>
      </c>
    </row>
    <row r="356" spans="1:4" x14ac:dyDescent="0.3">
      <c r="A356" s="30" t="s">
        <v>655</v>
      </c>
      <c r="B356" s="34">
        <v>0</v>
      </c>
      <c r="C356" s="35">
        <v>1</v>
      </c>
    </row>
    <row r="357" spans="1:4" x14ac:dyDescent="0.3">
      <c r="A357" s="30" t="s">
        <v>656</v>
      </c>
      <c r="B357" s="34">
        <v>0</v>
      </c>
      <c r="C357" s="35">
        <v>1</v>
      </c>
    </row>
    <row r="358" spans="1:4" x14ac:dyDescent="0.3">
      <c r="A358" s="30" t="s">
        <v>657</v>
      </c>
      <c r="B358" s="34">
        <v>0</v>
      </c>
    </row>
    <row r="359" spans="1:4" x14ac:dyDescent="0.3">
      <c r="A359" s="30" t="s">
        <v>658</v>
      </c>
      <c r="B359" s="34">
        <v>0</v>
      </c>
      <c r="C359" s="35">
        <v>11</v>
      </c>
      <c r="D359" s="36" t="s">
        <v>1457</v>
      </c>
    </row>
    <row r="360" spans="1:4" x14ac:dyDescent="0.3">
      <c r="A360" s="30" t="s">
        <v>659</v>
      </c>
      <c r="B360" s="34">
        <f>B361+B362+B368+B369+B370+B376+B377+B378+B379+B380+B382</f>
        <v>0</v>
      </c>
    </row>
    <row r="361" spans="1:4" x14ac:dyDescent="0.3">
      <c r="A361" s="30" t="s">
        <v>660</v>
      </c>
      <c r="B361" s="34">
        <v>0</v>
      </c>
    </row>
    <row r="362" spans="1:4" x14ac:dyDescent="0.3">
      <c r="A362" s="30" t="s">
        <v>661</v>
      </c>
      <c r="B362" s="34">
        <v>0</v>
      </c>
    </row>
    <row r="363" spans="1:4" x14ac:dyDescent="0.3">
      <c r="A363" s="30" t="s">
        <v>662</v>
      </c>
      <c r="B363" s="34">
        <v>0</v>
      </c>
    </row>
    <row r="364" spans="1:4" x14ac:dyDescent="0.3">
      <c r="A364" s="30" t="s">
        <v>663</v>
      </c>
      <c r="B364" s="34">
        <v>0</v>
      </c>
    </row>
    <row r="365" spans="1:4" x14ac:dyDescent="0.3">
      <c r="A365" s="30" t="s">
        <v>664</v>
      </c>
      <c r="B365" s="34">
        <v>0</v>
      </c>
    </row>
    <row r="366" spans="1:4" x14ac:dyDescent="0.3">
      <c r="A366" s="30" t="s">
        <v>665</v>
      </c>
      <c r="B366" s="34">
        <v>0</v>
      </c>
    </row>
    <row r="367" spans="1:4" x14ac:dyDescent="0.3">
      <c r="A367" s="30" t="s">
        <v>469</v>
      </c>
      <c r="B367" s="34">
        <v>0</v>
      </c>
    </row>
    <row r="368" spans="1:4" x14ac:dyDescent="0.3">
      <c r="A368" s="30" t="s">
        <v>666</v>
      </c>
      <c r="B368" s="34">
        <v>0</v>
      </c>
    </row>
    <row r="369" spans="1:2" x14ac:dyDescent="0.3">
      <c r="A369" s="30" t="s">
        <v>667</v>
      </c>
      <c r="B369" s="34">
        <v>0</v>
      </c>
    </row>
    <row r="370" spans="1:2" x14ac:dyDescent="0.3">
      <c r="A370" s="30" t="s">
        <v>668</v>
      </c>
      <c r="B370" s="34">
        <f>SUM(B371:B375)</f>
        <v>0</v>
      </c>
    </row>
    <row r="371" spans="1:2" x14ac:dyDescent="0.3">
      <c r="A371" s="30" t="s">
        <v>669</v>
      </c>
      <c r="B371" s="34">
        <v>0</v>
      </c>
    </row>
    <row r="372" spans="1:2" x14ac:dyDescent="0.3">
      <c r="A372" s="30" t="s">
        <v>670</v>
      </c>
      <c r="B372" s="34">
        <v>0</v>
      </c>
    </row>
    <row r="373" spans="1:2" x14ac:dyDescent="0.3">
      <c r="A373" s="30" t="s">
        <v>671</v>
      </c>
      <c r="B373" s="34">
        <v>0</v>
      </c>
    </row>
    <row r="374" spans="1:2" x14ac:dyDescent="0.3">
      <c r="A374" s="30" t="s">
        <v>1517</v>
      </c>
      <c r="B374" s="34">
        <v>0</v>
      </c>
    </row>
    <row r="375" spans="1:2" x14ac:dyDescent="0.3">
      <c r="A375" s="30" t="s">
        <v>1518</v>
      </c>
      <c r="B375" s="34">
        <v>0</v>
      </c>
    </row>
    <row r="376" spans="1:2" x14ac:dyDescent="0.3">
      <c r="A376" s="30" t="s">
        <v>672</v>
      </c>
      <c r="B376" s="34">
        <v>0</v>
      </c>
    </row>
    <row r="377" spans="1:2" x14ac:dyDescent="0.3">
      <c r="A377" s="30" t="s">
        <v>673</v>
      </c>
      <c r="B377" s="34">
        <v>0</v>
      </c>
    </row>
    <row r="378" spans="1:2" x14ac:dyDescent="0.3">
      <c r="A378" s="30" t="s">
        <v>674</v>
      </c>
      <c r="B378" s="34">
        <v>0</v>
      </c>
    </row>
    <row r="379" spans="1:2" x14ac:dyDescent="0.3">
      <c r="A379" s="30" t="s">
        <v>675</v>
      </c>
      <c r="B379" s="34">
        <v>0</v>
      </c>
    </row>
    <row r="380" spans="1:2" x14ac:dyDescent="0.3">
      <c r="A380" s="30" t="s">
        <v>676</v>
      </c>
      <c r="B380" s="34">
        <v>0</v>
      </c>
    </row>
    <row r="381" spans="1:2" x14ac:dyDescent="0.3">
      <c r="A381" s="30" t="s">
        <v>1519</v>
      </c>
      <c r="B381" s="34">
        <v>0</v>
      </c>
    </row>
    <row r="382" spans="1:2" x14ac:dyDescent="0.3">
      <c r="A382" s="30" t="s">
        <v>1520</v>
      </c>
      <c r="B382" s="34">
        <v>0</v>
      </c>
    </row>
    <row r="383" spans="1:2" x14ac:dyDescent="0.3">
      <c r="A383" s="30" t="s">
        <v>677</v>
      </c>
      <c r="B383" s="34">
        <f>B384+B387</f>
        <v>0</v>
      </c>
    </row>
    <row r="384" spans="1:2" x14ac:dyDescent="0.3">
      <c r="A384" s="30" t="s">
        <v>678</v>
      </c>
      <c r="B384" s="34">
        <f>B385</f>
        <v>0</v>
      </c>
    </row>
    <row r="385" spans="1:2" x14ac:dyDescent="0.3">
      <c r="A385" s="30" t="s">
        <v>679</v>
      </c>
      <c r="B385" s="34">
        <v>0</v>
      </c>
    </row>
    <row r="386" spans="1:2" x14ac:dyDescent="0.3">
      <c r="A386" s="30" t="s">
        <v>533</v>
      </c>
      <c r="B386" s="34">
        <v>0</v>
      </c>
    </row>
    <row r="387" spans="1:2" x14ac:dyDescent="0.3">
      <c r="A387" s="30" t="s">
        <v>680</v>
      </c>
      <c r="B387" s="34">
        <f>B388</f>
        <v>0</v>
      </c>
    </row>
    <row r="388" spans="1:2" x14ac:dyDescent="0.3">
      <c r="A388" s="30" t="s">
        <v>681</v>
      </c>
      <c r="B388" s="34">
        <v>0</v>
      </c>
    </row>
    <row r="389" spans="1:2" x14ac:dyDescent="0.3">
      <c r="A389" s="30" t="s">
        <v>533</v>
      </c>
      <c r="B389" s="34">
        <v>0</v>
      </c>
    </row>
    <row r="390" spans="1:2" x14ac:dyDescent="0.3">
      <c r="A390" s="30" t="s">
        <v>682</v>
      </c>
      <c r="B390" s="34">
        <v>0</v>
      </c>
    </row>
    <row r="391" spans="1:2" x14ac:dyDescent="0.3">
      <c r="A391" s="30" t="s">
        <v>683</v>
      </c>
      <c r="B391" s="34">
        <v>0</v>
      </c>
    </row>
    <row r="392" spans="1:2" x14ac:dyDescent="0.3">
      <c r="A392" s="30" t="s">
        <v>684</v>
      </c>
      <c r="B392" s="34">
        <v>0</v>
      </c>
    </row>
    <row r="393" spans="1:2" x14ac:dyDescent="0.3">
      <c r="A393" s="30" t="s">
        <v>92</v>
      </c>
      <c r="B393" s="34">
        <v>0</v>
      </c>
    </row>
    <row r="394" spans="1:2" x14ac:dyDescent="0.3">
      <c r="A394" s="30" t="s">
        <v>685</v>
      </c>
      <c r="B394" s="34">
        <v>0</v>
      </c>
    </row>
    <row r="395" spans="1:2" x14ac:dyDescent="0.3">
      <c r="A395" s="30" t="s">
        <v>686</v>
      </c>
      <c r="B395" s="34">
        <v>0</v>
      </c>
    </row>
    <row r="396" spans="1:2" x14ac:dyDescent="0.3">
      <c r="A396" s="30" t="s">
        <v>687</v>
      </c>
      <c r="B396" s="34">
        <v>0</v>
      </c>
    </row>
    <row r="397" spans="1:2" x14ac:dyDescent="0.3">
      <c r="A397" s="30" t="s">
        <v>92</v>
      </c>
      <c r="B397" s="34">
        <v>0</v>
      </c>
    </row>
    <row r="398" spans="1:2" x14ac:dyDescent="0.3">
      <c r="A398" s="30" t="s">
        <v>688</v>
      </c>
      <c r="B398" s="34">
        <v>0</v>
      </c>
    </row>
    <row r="399" spans="1:2" x14ac:dyDescent="0.3">
      <c r="A399" s="30" t="s">
        <v>689</v>
      </c>
      <c r="B399" s="34">
        <f>B12-B217</f>
        <v>0</v>
      </c>
    </row>
    <row r="400" spans="1:2" x14ac:dyDescent="0.3">
      <c r="A400" s="30" t="s">
        <v>690</v>
      </c>
      <c r="B400" s="34">
        <f>SUM(B401:B419)</f>
        <v>0</v>
      </c>
    </row>
    <row r="401" spans="1:2" x14ac:dyDescent="0.3">
      <c r="A401" s="30" t="s">
        <v>691</v>
      </c>
      <c r="B401" s="34">
        <v>0</v>
      </c>
    </row>
    <row r="402" spans="1:2" x14ac:dyDescent="0.3">
      <c r="A402" s="30" t="s">
        <v>692</v>
      </c>
      <c r="B402" s="34">
        <v>0</v>
      </c>
    </row>
    <row r="403" spans="1:2" x14ac:dyDescent="0.3">
      <c r="A403" s="30" t="s">
        <v>693</v>
      </c>
      <c r="B403" s="34">
        <v>0</v>
      </c>
    </row>
    <row r="404" spans="1:2" x14ac:dyDescent="0.3">
      <c r="A404" s="30" t="s">
        <v>694</v>
      </c>
      <c r="B404" s="34">
        <v>0</v>
      </c>
    </row>
    <row r="405" spans="1:2" x14ac:dyDescent="0.3">
      <c r="A405" s="30" t="s">
        <v>695</v>
      </c>
      <c r="B405" s="34">
        <v>0</v>
      </c>
    </row>
    <row r="406" spans="1:2" x14ac:dyDescent="0.3">
      <c r="A406" s="30" t="s">
        <v>696</v>
      </c>
      <c r="B406" s="34">
        <v>0</v>
      </c>
    </row>
    <row r="407" spans="1:2" x14ac:dyDescent="0.3">
      <c r="A407" s="30" t="s">
        <v>697</v>
      </c>
      <c r="B407" s="34">
        <v>0</v>
      </c>
    </row>
    <row r="408" spans="1:2" x14ac:dyDescent="0.3">
      <c r="A408" s="30" t="s">
        <v>1521</v>
      </c>
      <c r="B408" s="34">
        <v>0</v>
      </c>
    </row>
    <row r="409" spans="1:2" x14ac:dyDescent="0.3">
      <c r="A409" s="30" t="s">
        <v>1522</v>
      </c>
      <c r="B409" s="34">
        <v>0</v>
      </c>
    </row>
    <row r="410" spans="1:2" x14ac:dyDescent="0.3">
      <c r="A410" s="30" t="s">
        <v>1523</v>
      </c>
      <c r="B410" s="34">
        <v>0</v>
      </c>
    </row>
    <row r="411" spans="1:2" x14ac:dyDescent="0.3">
      <c r="A411" s="30" t="s">
        <v>1524</v>
      </c>
      <c r="B411" s="34">
        <v>0</v>
      </c>
    </row>
    <row r="412" spans="1:2" x14ac:dyDescent="0.3">
      <c r="A412" s="30" t="s">
        <v>1525</v>
      </c>
      <c r="B412" s="34">
        <v>0</v>
      </c>
    </row>
    <row r="413" spans="1:2" x14ac:dyDescent="0.3">
      <c r="A413" s="30" t="s">
        <v>1526</v>
      </c>
      <c r="B413" s="34">
        <v>0</v>
      </c>
    </row>
    <row r="414" spans="1:2" x14ac:dyDescent="0.3">
      <c r="A414" s="30" t="s">
        <v>1527</v>
      </c>
      <c r="B414" s="34">
        <v>0</v>
      </c>
    </row>
    <row r="415" spans="1:2" x14ac:dyDescent="0.3">
      <c r="A415" s="30" t="s">
        <v>1528</v>
      </c>
      <c r="B415" s="34">
        <v>0</v>
      </c>
    </row>
    <row r="416" spans="1:2" x14ac:dyDescent="0.3">
      <c r="A416" s="30" t="s">
        <v>1529</v>
      </c>
      <c r="B416" s="34">
        <v>0</v>
      </c>
    </row>
    <row r="417" spans="1:3" x14ac:dyDescent="0.3">
      <c r="A417" s="30" t="s">
        <v>1530</v>
      </c>
      <c r="B417" s="34">
        <v>0</v>
      </c>
    </row>
    <row r="418" spans="1:3" x14ac:dyDescent="0.3">
      <c r="A418" s="30" t="s">
        <v>1531</v>
      </c>
      <c r="B418" s="34">
        <v>0</v>
      </c>
    </row>
    <row r="419" spans="1:3" x14ac:dyDescent="0.3">
      <c r="A419" s="30" t="s">
        <v>1532</v>
      </c>
      <c r="B419" s="34">
        <v>0</v>
      </c>
      <c r="C419" s="35">
        <v>1</v>
      </c>
    </row>
    <row r="420" spans="1:3" x14ac:dyDescent="0.3">
      <c r="A420" s="30" t="s">
        <v>698</v>
      </c>
      <c r="B420" s="34">
        <f>SUM(B421:B440)</f>
        <v>0</v>
      </c>
    </row>
    <row r="421" spans="1:3" x14ac:dyDescent="0.3">
      <c r="A421" s="30" t="s">
        <v>699</v>
      </c>
      <c r="B421" s="34">
        <v>0</v>
      </c>
    </row>
    <row r="422" spans="1:3" x14ac:dyDescent="0.3">
      <c r="A422" s="30" t="s">
        <v>700</v>
      </c>
      <c r="B422" s="34">
        <v>0</v>
      </c>
    </row>
    <row r="423" spans="1:3" x14ac:dyDescent="0.3">
      <c r="A423" s="30" t="s">
        <v>701</v>
      </c>
      <c r="B423" s="34">
        <v>0</v>
      </c>
    </row>
    <row r="424" spans="1:3" x14ac:dyDescent="0.3">
      <c r="A424" s="30" t="s">
        <v>702</v>
      </c>
      <c r="B424" s="34">
        <v>0</v>
      </c>
    </row>
    <row r="425" spans="1:3" x14ac:dyDescent="0.3">
      <c r="A425" s="30" t="s">
        <v>703</v>
      </c>
      <c r="B425" s="34">
        <v>0</v>
      </c>
    </row>
    <row r="426" spans="1:3" x14ac:dyDescent="0.3">
      <c r="A426" s="30" t="s">
        <v>704</v>
      </c>
      <c r="B426" s="34">
        <v>0</v>
      </c>
    </row>
    <row r="427" spans="1:3" x14ac:dyDescent="0.3">
      <c r="A427" s="30" t="s">
        <v>1533</v>
      </c>
      <c r="B427" s="34">
        <v>0</v>
      </c>
    </row>
    <row r="428" spans="1:3" x14ac:dyDescent="0.3">
      <c r="A428" s="30" t="s">
        <v>1534</v>
      </c>
      <c r="B428" s="34">
        <v>0</v>
      </c>
    </row>
    <row r="429" spans="1:3" x14ac:dyDescent="0.3">
      <c r="A429" s="30" t="s">
        <v>1535</v>
      </c>
      <c r="B429" s="34">
        <v>0</v>
      </c>
    </row>
    <row r="430" spans="1:3" x14ac:dyDescent="0.3">
      <c r="A430" s="30" t="s">
        <v>1536</v>
      </c>
      <c r="B430" s="34">
        <v>0</v>
      </c>
    </row>
    <row r="431" spans="1:3" x14ac:dyDescent="0.3">
      <c r="A431" s="30" t="s">
        <v>1537</v>
      </c>
      <c r="B431" s="34">
        <v>0</v>
      </c>
    </row>
    <row r="432" spans="1:3" x14ac:dyDescent="0.3">
      <c r="A432" s="30" t="s">
        <v>1538</v>
      </c>
      <c r="B432" s="34">
        <v>0</v>
      </c>
    </row>
    <row r="433" spans="1:3" x14ac:dyDescent="0.3">
      <c r="A433" s="30" t="s">
        <v>1539</v>
      </c>
      <c r="B433" s="34">
        <v>0</v>
      </c>
    </row>
    <row r="434" spans="1:3" x14ac:dyDescent="0.3">
      <c r="A434" s="30" t="s">
        <v>1540</v>
      </c>
      <c r="B434" s="34">
        <v>0</v>
      </c>
    </row>
    <row r="435" spans="1:3" x14ac:dyDescent="0.3">
      <c r="A435" s="30" t="s">
        <v>1541</v>
      </c>
      <c r="B435" s="34">
        <v>0</v>
      </c>
    </row>
    <row r="436" spans="1:3" x14ac:dyDescent="0.3">
      <c r="A436" s="30" t="s">
        <v>1542</v>
      </c>
      <c r="B436" s="34">
        <v>0</v>
      </c>
    </row>
    <row r="437" spans="1:3" x14ac:dyDescent="0.3">
      <c r="A437" s="30" t="s">
        <v>1543</v>
      </c>
      <c r="B437" s="34">
        <v>0</v>
      </c>
    </row>
    <row r="438" spans="1:3" x14ac:dyDescent="0.3">
      <c r="A438" s="30" t="s">
        <v>1544</v>
      </c>
      <c r="B438" s="34">
        <v>0</v>
      </c>
    </row>
    <row r="439" spans="1:3" x14ac:dyDescent="0.3">
      <c r="A439" s="30" t="s">
        <v>1545</v>
      </c>
      <c r="B439" s="34">
        <v>0</v>
      </c>
    </row>
    <row r="440" spans="1:3" x14ac:dyDescent="0.3">
      <c r="A440" s="30" t="s">
        <v>1546</v>
      </c>
      <c r="B440" s="34">
        <v>0</v>
      </c>
      <c r="C440" s="35">
        <v>1</v>
      </c>
    </row>
    <row r="441" spans="1:3" x14ac:dyDescent="0.3">
      <c r="A441" s="30" t="s">
        <v>705</v>
      </c>
      <c r="B441" s="34">
        <f>B399+B400-B420</f>
        <v>0</v>
      </c>
      <c r="C441" s="35">
        <v>1</v>
      </c>
    </row>
    <row r="442" spans="1:3" x14ac:dyDescent="0.3">
      <c r="A442" s="30" t="s">
        <v>706</v>
      </c>
      <c r="B442" s="34">
        <v>0</v>
      </c>
    </row>
    <row r="443" spans="1:3" x14ac:dyDescent="0.3">
      <c r="A443" s="30" t="s">
        <v>707</v>
      </c>
      <c r="B443" s="34">
        <f>B441-B442</f>
        <v>0</v>
      </c>
      <c r="C443" s="35">
        <v>1</v>
      </c>
    </row>
    <row r="444" spans="1:3" x14ac:dyDescent="0.3">
      <c r="A444" s="30" t="s">
        <v>708</v>
      </c>
      <c r="B444" s="34">
        <v>0</v>
      </c>
    </row>
    <row r="445" spans="1:3" x14ac:dyDescent="0.3">
      <c r="A445" s="30" t="s">
        <v>709</v>
      </c>
      <c r="B445" s="34">
        <f>B443-B444</f>
        <v>0</v>
      </c>
      <c r="C445" s="35">
        <v>1</v>
      </c>
    </row>
    <row r="446" spans="1:3" x14ac:dyDescent="0.3">
      <c r="A446" s="30" t="s">
        <v>710</v>
      </c>
      <c r="B446" s="34">
        <v>0</v>
      </c>
    </row>
    <row r="447" spans="1:3" x14ac:dyDescent="0.3">
      <c r="A447" s="30" t="s">
        <v>711</v>
      </c>
      <c r="B447" s="34">
        <v>0</v>
      </c>
    </row>
    <row r="448" spans="1:3" x14ac:dyDescent="0.3">
      <c r="A448" s="30" t="s">
        <v>1547</v>
      </c>
      <c r="B448" s="34">
        <v>0</v>
      </c>
    </row>
    <row r="449" spans="1:3" x14ac:dyDescent="0.3">
      <c r="A449" s="30" t="s">
        <v>1548</v>
      </c>
      <c r="B449" s="34">
        <v>0</v>
      </c>
    </row>
    <row r="450" spans="1:3" x14ac:dyDescent="0.3">
      <c r="A450" s="30" t="s">
        <v>712</v>
      </c>
      <c r="B450" s="34">
        <f>SUM(B451:B459)</f>
        <v>0</v>
      </c>
    </row>
    <row r="451" spans="1:3" x14ac:dyDescent="0.3">
      <c r="A451" s="30" t="s">
        <v>383</v>
      </c>
      <c r="B451" s="34">
        <f>'GA023(재무)'!B443</f>
        <v>0</v>
      </c>
      <c r="C451" s="35">
        <v>1</v>
      </c>
    </row>
    <row r="452" spans="1:3" x14ac:dyDescent="0.3">
      <c r="A452" s="30" t="s">
        <v>386</v>
      </c>
      <c r="B452" s="34">
        <v>0</v>
      </c>
    </row>
    <row r="453" spans="1:3" x14ac:dyDescent="0.3">
      <c r="A453" s="30" t="s">
        <v>387</v>
      </c>
      <c r="B453" s="34">
        <v>0</v>
      </c>
    </row>
    <row r="454" spans="1:3" x14ac:dyDescent="0.3">
      <c r="A454" s="30" t="s">
        <v>388</v>
      </c>
      <c r="B454" s="34">
        <v>0</v>
      </c>
    </row>
    <row r="455" spans="1:3" x14ac:dyDescent="0.3">
      <c r="A455" s="30" t="s">
        <v>713</v>
      </c>
      <c r="B455" s="34">
        <v>0</v>
      </c>
    </row>
    <row r="456" spans="1:3" x14ac:dyDescent="0.3">
      <c r="A456" s="30" t="s">
        <v>714</v>
      </c>
      <c r="B456" s="34">
        <v>0</v>
      </c>
    </row>
    <row r="457" spans="1:3" x14ac:dyDescent="0.3">
      <c r="A457" s="30" t="s">
        <v>391</v>
      </c>
      <c r="B457" s="34">
        <v>0</v>
      </c>
    </row>
    <row r="458" spans="1:3" x14ac:dyDescent="0.3">
      <c r="A458" s="30" t="s">
        <v>392</v>
      </c>
      <c r="B458" s="34">
        <v>0</v>
      </c>
    </row>
    <row r="459" spans="1:3" x14ac:dyDescent="0.3">
      <c r="A459" s="30" t="s">
        <v>715</v>
      </c>
      <c r="B459" s="34">
        <v>0</v>
      </c>
    </row>
    <row r="460" spans="1:3" x14ac:dyDescent="0.3">
      <c r="A460" s="30" t="s">
        <v>716</v>
      </c>
      <c r="B460" s="34">
        <f>B445+B450</f>
        <v>0</v>
      </c>
    </row>
  </sheetData>
  <mergeCells count="5">
    <mergeCell ref="A3:B3"/>
    <mergeCell ref="A5:B5"/>
    <mergeCell ref="A7:B7"/>
    <mergeCell ref="A8:B8"/>
    <mergeCell ref="A9:B9"/>
  </mergeCells>
  <phoneticPr fontId="1" type="noConversion"/>
  <pageMargins left="0.17" right="0.17" top="0.75" bottom="0.75" header="0.3" footer="0.3"/>
  <pageSetup paperSize="9" orientation="portrait" r:id="rId1"/>
  <ignoredErrors>
    <ignoredError sqref="B400 B42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471"/>
  <sheetViews>
    <sheetView zoomScaleNormal="100" workbookViewId="0">
      <pane xSplit="1" ySplit="11" topLeftCell="B396" activePane="bottomRight" state="frozen"/>
      <selection activeCell="A7" sqref="A7"/>
      <selection pane="topRight" activeCell="A7" sqref="A7"/>
      <selection pane="bottomLeft" activeCell="A7" sqref="A7"/>
      <selection pane="bottomRight" activeCell="B327" sqref="B327"/>
    </sheetView>
  </sheetViews>
  <sheetFormatPr defaultRowHeight="13.5" x14ac:dyDescent="0.25"/>
  <cols>
    <col min="1" max="1" width="56.875" style="1" customWidth="1"/>
    <col min="2" max="2" width="25.375" style="1" customWidth="1"/>
    <col min="3" max="3" width="12.875" style="1" bestFit="1" customWidth="1"/>
    <col min="4" max="4" width="11.125" style="1" bestFit="1" customWidth="1"/>
    <col min="5" max="7" width="9" style="1"/>
    <col min="8" max="8" width="10.25" style="1" bestFit="1" customWidth="1"/>
    <col min="9" max="16384" width="9" style="1"/>
  </cols>
  <sheetData>
    <row r="2" spans="1:10" ht="14.25" thickBot="1" x14ac:dyDescent="0.3"/>
    <row r="3" spans="1:10" ht="24.95" customHeight="1" thickTop="1" thickBot="1" x14ac:dyDescent="0.3">
      <c r="A3" s="45" t="s">
        <v>40</v>
      </c>
      <c r="B3" s="47"/>
    </row>
    <row r="4" spans="1:10" ht="14.25" thickTop="1" x14ac:dyDescent="0.25"/>
    <row r="5" spans="1:10" x14ac:dyDescent="0.25">
      <c r="A5" s="48"/>
      <c r="B5" s="50"/>
    </row>
    <row r="7" spans="1:10" x14ac:dyDescent="0.25">
      <c r="A7" s="51"/>
      <c r="B7" s="50"/>
    </row>
    <row r="8" spans="1:10" x14ac:dyDescent="0.25">
      <c r="A8" s="48"/>
      <c r="B8" s="50"/>
    </row>
    <row r="9" spans="1:10" x14ac:dyDescent="0.25">
      <c r="A9" s="51"/>
      <c r="B9" s="50"/>
    </row>
    <row r="10" spans="1:10" x14ac:dyDescent="0.25">
      <c r="J10" s="1" t="s">
        <v>1453</v>
      </c>
    </row>
    <row r="11" spans="1:10" x14ac:dyDescent="0.25">
      <c r="A11" s="5" t="s">
        <v>1</v>
      </c>
      <c r="B11" s="5" t="s">
        <v>41</v>
      </c>
    </row>
    <row r="12" spans="1:10" x14ac:dyDescent="0.25">
      <c r="A12" s="6" t="s">
        <v>42</v>
      </c>
      <c r="B12" s="7">
        <f>B13+B55+B113+B137+B185+B204+B210+B214</f>
        <v>0</v>
      </c>
      <c r="C12" s="8"/>
      <c r="D12" s="8"/>
    </row>
    <row r="13" spans="1:10" x14ac:dyDescent="0.25">
      <c r="A13" s="6" t="s">
        <v>43</v>
      </c>
      <c r="B13" s="9">
        <f>B14+B25</f>
        <v>0</v>
      </c>
      <c r="C13" s="8"/>
    </row>
    <row r="14" spans="1:10" x14ac:dyDescent="0.25">
      <c r="A14" s="6" t="s">
        <v>44</v>
      </c>
      <c r="B14" s="9">
        <f>SUM(B15:B24)</f>
        <v>0</v>
      </c>
      <c r="H14" s="1" t="s">
        <v>45</v>
      </c>
    </row>
    <row r="15" spans="1:10" x14ac:dyDescent="0.25">
      <c r="A15" s="6" t="s">
        <v>46</v>
      </c>
      <c r="B15" s="10">
        <v>0</v>
      </c>
      <c r="C15" s="11">
        <v>1</v>
      </c>
    </row>
    <row r="16" spans="1:10" x14ac:dyDescent="0.25">
      <c r="A16" s="6" t="s">
        <v>47</v>
      </c>
      <c r="B16" s="9">
        <v>0</v>
      </c>
    </row>
    <row r="17" spans="1:3" x14ac:dyDescent="0.25">
      <c r="A17" s="6" t="s">
        <v>48</v>
      </c>
      <c r="B17" s="44">
        <v>0</v>
      </c>
      <c r="C17" s="11">
        <v>1</v>
      </c>
    </row>
    <row r="18" spans="1:3" x14ac:dyDescent="0.25">
      <c r="A18" s="6" t="s">
        <v>49</v>
      </c>
      <c r="B18" s="9">
        <v>0</v>
      </c>
    </row>
    <row r="19" spans="1:3" x14ac:dyDescent="0.25">
      <c r="A19" s="6" t="s">
        <v>50</v>
      </c>
      <c r="B19" s="9">
        <v>0</v>
      </c>
    </row>
    <row r="20" spans="1:3" x14ac:dyDescent="0.25">
      <c r="A20" s="6" t="s">
        <v>51</v>
      </c>
      <c r="B20" s="9">
        <v>0</v>
      </c>
    </row>
    <row r="21" spans="1:3" x14ac:dyDescent="0.25">
      <c r="A21" s="6" t="s">
        <v>52</v>
      </c>
      <c r="B21" s="9">
        <v>0</v>
      </c>
    </row>
    <row r="22" spans="1:3" x14ac:dyDescent="0.25">
      <c r="A22" s="6" t="s">
        <v>53</v>
      </c>
      <c r="B22" s="9">
        <v>0</v>
      </c>
      <c r="C22" s="11">
        <v>1</v>
      </c>
    </row>
    <row r="23" spans="1:3" x14ac:dyDescent="0.25">
      <c r="A23" s="6" t="s">
        <v>1464</v>
      </c>
      <c r="B23" s="9">
        <v>0</v>
      </c>
    </row>
    <row r="24" spans="1:3" x14ac:dyDescent="0.25">
      <c r="A24" s="6" t="s">
        <v>54</v>
      </c>
      <c r="B24" s="9">
        <v>0</v>
      </c>
      <c r="C24" s="11">
        <v>1</v>
      </c>
    </row>
    <row r="25" spans="1:3" x14ac:dyDescent="0.25">
      <c r="A25" s="6" t="s">
        <v>55</v>
      </c>
      <c r="B25" s="9">
        <f>B26+B29+B33+B37+B38+B39+B44+B49+B50+B51+B52+B53+B54</f>
        <v>0</v>
      </c>
    </row>
    <row r="26" spans="1:3" x14ac:dyDescent="0.25">
      <c r="A26" s="6" t="s">
        <v>56</v>
      </c>
      <c r="B26" s="9">
        <f>SUM(B27:B28)</f>
        <v>0</v>
      </c>
    </row>
    <row r="27" spans="1:3" x14ac:dyDescent="0.25">
      <c r="A27" s="6" t="s">
        <v>57</v>
      </c>
      <c r="B27" s="9">
        <v>0</v>
      </c>
      <c r="C27" s="11">
        <v>1</v>
      </c>
    </row>
    <row r="28" spans="1:3" x14ac:dyDescent="0.25">
      <c r="A28" s="6" t="s">
        <v>58</v>
      </c>
      <c r="B28" s="9">
        <v>0</v>
      </c>
    </row>
    <row r="29" spans="1:3" x14ac:dyDescent="0.25">
      <c r="A29" s="6" t="s">
        <v>59</v>
      </c>
      <c r="B29" s="9">
        <f>SUM(B30:B32)</f>
        <v>0</v>
      </c>
    </row>
    <row r="30" spans="1:3" x14ac:dyDescent="0.25">
      <c r="A30" s="6" t="s">
        <v>60</v>
      </c>
      <c r="B30" s="9">
        <v>0</v>
      </c>
    </row>
    <row r="31" spans="1:3" x14ac:dyDescent="0.25">
      <c r="A31" s="6" t="s">
        <v>61</v>
      </c>
      <c r="B31" s="9">
        <v>0</v>
      </c>
    </row>
    <row r="32" spans="1:3" x14ac:dyDescent="0.25">
      <c r="A32" s="6" t="s">
        <v>62</v>
      </c>
      <c r="B32" s="9">
        <v>0</v>
      </c>
    </row>
    <row r="33" spans="1:2" x14ac:dyDescent="0.25">
      <c r="A33" s="6" t="s">
        <v>63</v>
      </c>
      <c r="B33" s="9">
        <f>SUM(B34:B37)</f>
        <v>0</v>
      </c>
    </row>
    <row r="34" spans="1:2" x14ac:dyDescent="0.25">
      <c r="A34" s="6" t="s">
        <v>60</v>
      </c>
      <c r="B34" s="9">
        <v>0</v>
      </c>
    </row>
    <row r="35" spans="1:2" x14ac:dyDescent="0.25">
      <c r="A35" s="6" t="s">
        <v>61</v>
      </c>
      <c r="B35" s="9">
        <v>0</v>
      </c>
    </row>
    <row r="36" spans="1:2" x14ac:dyDescent="0.25">
      <c r="A36" s="6" t="s">
        <v>62</v>
      </c>
      <c r="B36" s="9">
        <v>0</v>
      </c>
    </row>
    <row r="37" spans="1:2" x14ac:dyDescent="0.25">
      <c r="A37" s="6" t="s">
        <v>64</v>
      </c>
      <c r="B37" s="9">
        <v>0</v>
      </c>
    </row>
    <row r="38" spans="1:2" x14ac:dyDescent="0.25">
      <c r="A38" s="6" t="s">
        <v>65</v>
      </c>
      <c r="B38" s="9">
        <v>0</v>
      </c>
    </row>
    <row r="39" spans="1:2" x14ac:dyDescent="0.25">
      <c r="A39" s="6" t="s">
        <v>66</v>
      </c>
      <c r="B39" s="9">
        <f>SUM(B40:B43)</f>
        <v>0</v>
      </c>
    </row>
    <row r="40" spans="1:2" x14ac:dyDescent="0.25">
      <c r="A40" s="6" t="s">
        <v>67</v>
      </c>
      <c r="B40" s="9">
        <v>0</v>
      </c>
    </row>
    <row r="41" spans="1:2" x14ac:dyDescent="0.25">
      <c r="A41" s="6" t="s">
        <v>68</v>
      </c>
      <c r="B41" s="9">
        <v>0</v>
      </c>
    </row>
    <row r="42" spans="1:2" x14ac:dyDescent="0.25">
      <c r="A42" s="6" t="s">
        <v>69</v>
      </c>
      <c r="B42" s="9">
        <v>0</v>
      </c>
    </row>
    <row r="43" spans="1:2" x14ac:dyDescent="0.25">
      <c r="A43" s="6" t="s">
        <v>70</v>
      </c>
      <c r="B43" s="9">
        <v>0</v>
      </c>
    </row>
    <row r="44" spans="1:2" x14ac:dyDescent="0.25">
      <c r="A44" s="6" t="s">
        <v>71</v>
      </c>
      <c r="B44" s="9">
        <f>SUM(B45:B48)</f>
        <v>0</v>
      </c>
    </row>
    <row r="45" spans="1:2" x14ac:dyDescent="0.25">
      <c r="A45" s="6" t="s">
        <v>67</v>
      </c>
      <c r="B45" s="9">
        <v>0</v>
      </c>
    </row>
    <row r="46" spans="1:2" x14ac:dyDescent="0.25">
      <c r="A46" s="6" t="s">
        <v>68</v>
      </c>
      <c r="B46" s="9">
        <v>0</v>
      </c>
    </row>
    <row r="47" spans="1:2" x14ac:dyDescent="0.25">
      <c r="A47" s="6" t="s">
        <v>69</v>
      </c>
      <c r="B47" s="9">
        <v>0</v>
      </c>
    </row>
    <row r="48" spans="1:2" x14ac:dyDescent="0.25">
      <c r="A48" s="6" t="s">
        <v>70</v>
      </c>
      <c r="B48" s="9">
        <v>0</v>
      </c>
    </row>
    <row r="49" spans="1:3" x14ac:dyDescent="0.25">
      <c r="A49" s="6" t="s">
        <v>72</v>
      </c>
      <c r="B49" s="9">
        <v>0</v>
      </c>
    </row>
    <row r="50" spans="1:3" x14ac:dyDescent="0.25">
      <c r="A50" s="6" t="s">
        <v>73</v>
      </c>
      <c r="B50" s="9">
        <v>0</v>
      </c>
    </row>
    <row r="51" spans="1:3" x14ac:dyDescent="0.25">
      <c r="A51" s="6" t="s">
        <v>74</v>
      </c>
      <c r="B51" s="9">
        <v>0</v>
      </c>
    </row>
    <row r="52" spans="1:3" x14ac:dyDescent="0.25">
      <c r="A52" s="6" t="s">
        <v>75</v>
      </c>
      <c r="B52" s="9">
        <v>0</v>
      </c>
    </row>
    <row r="53" spans="1:3" x14ac:dyDescent="0.25">
      <c r="A53" s="6" t="s">
        <v>76</v>
      </c>
      <c r="B53" s="9">
        <v>0</v>
      </c>
    </row>
    <row r="54" spans="1:3" x14ac:dyDescent="0.25">
      <c r="A54" s="6" t="s">
        <v>77</v>
      </c>
      <c r="B54" s="9">
        <v>0</v>
      </c>
    </row>
    <row r="55" spans="1:3" x14ac:dyDescent="0.25">
      <c r="A55" s="6" t="s">
        <v>78</v>
      </c>
      <c r="B55" s="9">
        <f>B56+B73+B90+B95+B105+B111</f>
        <v>0</v>
      </c>
    </row>
    <row r="56" spans="1:3" x14ac:dyDescent="0.25">
      <c r="A56" s="6" t="s">
        <v>79</v>
      </c>
      <c r="B56" s="9">
        <f>B57+B58+B59+B60+B61+B62++B66+B67+B71+B72</f>
        <v>0</v>
      </c>
    </row>
    <row r="57" spans="1:3" x14ac:dyDescent="0.25">
      <c r="A57" s="6" t="s">
        <v>80</v>
      </c>
      <c r="B57" s="9">
        <v>0</v>
      </c>
      <c r="C57" s="11">
        <v>1</v>
      </c>
    </row>
    <row r="58" spans="1:3" x14ac:dyDescent="0.25">
      <c r="A58" s="6" t="s">
        <v>81</v>
      </c>
      <c r="B58" s="9">
        <v>0</v>
      </c>
    </row>
    <row r="59" spans="1:3" x14ac:dyDescent="0.25">
      <c r="A59" s="6" t="s">
        <v>82</v>
      </c>
      <c r="B59" s="9">
        <v>0</v>
      </c>
    </row>
    <row r="60" spans="1:3" x14ac:dyDescent="0.25">
      <c r="A60" s="6" t="s">
        <v>83</v>
      </c>
      <c r="B60" s="9">
        <v>0</v>
      </c>
    </row>
    <row r="61" spans="1:3" x14ac:dyDescent="0.25">
      <c r="A61" s="6" t="s">
        <v>84</v>
      </c>
      <c r="B61" s="9">
        <v>0</v>
      </c>
    </row>
    <row r="62" spans="1:3" x14ac:dyDescent="0.25">
      <c r="A62" s="6" t="s">
        <v>85</v>
      </c>
      <c r="B62" s="9">
        <f>B63+B64++B65</f>
        <v>0</v>
      </c>
    </row>
    <row r="63" spans="1:3" x14ac:dyDescent="0.25">
      <c r="A63" s="6" t="s">
        <v>86</v>
      </c>
      <c r="B63" s="9">
        <v>0</v>
      </c>
    </row>
    <row r="64" spans="1:3" x14ac:dyDescent="0.25">
      <c r="A64" s="6" t="s">
        <v>87</v>
      </c>
      <c r="B64" s="9">
        <v>0</v>
      </c>
    </row>
    <row r="65" spans="1:2" x14ac:dyDescent="0.25">
      <c r="A65" s="6" t="s">
        <v>1472</v>
      </c>
      <c r="B65" s="9">
        <v>0</v>
      </c>
    </row>
    <row r="66" spans="1:2" x14ac:dyDescent="0.25">
      <c r="A66" s="6" t="s">
        <v>88</v>
      </c>
      <c r="B66" s="9">
        <v>0</v>
      </c>
    </row>
    <row r="67" spans="1:2" x14ac:dyDescent="0.25">
      <c r="A67" s="6" t="s">
        <v>89</v>
      </c>
      <c r="B67" s="9">
        <f>B68+B69+B70</f>
        <v>0</v>
      </c>
    </row>
    <row r="68" spans="1:2" x14ac:dyDescent="0.25">
      <c r="A68" s="6" t="s">
        <v>90</v>
      </c>
      <c r="B68" s="9">
        <v>0</v>
      </c>
    </row>
    <row r="69" spans="1:2" x14ac:dyDescent="0.25">
      <c r="A69" s="6" t="s">
        <v>91</v>
      </c>
      <c r="B69" s="9">
        <v>0</v>
      </c>
    </row>
    <row r="70" spans="1:2" x14ac:dyDescent="0.25">
      <c r="A70" s="6" t="s">
        <v>92</v>
      </c>
      <c r="B70" s="9">
        <v>0</v>
      </c>
    </row>
    <row r="71" spans="1:2" x14ac:dyDescent="0.25">
      <c r="A71" s="6" t="s">
        <v>1470</v>
      </c>
      <c r="B71" s="9">
        <v>0</v>
      </c>
    </row>
    <row r="72" spans="1:2" x14ac:dyDescent="0.25">
      <c r="A72" s="6" t="s">
        <v>1471</v>
      </c>
      <c r="B72" s="9">
        <v>0</v>
      </c>
    </row>
    <row r="73" spans="1:2" x14ac:dyDescent="0.25">
      <c r="A73" s="6" t="s">
        <v>94</v>
      </c>
      <c r="B73" s="9">
        <f>B74+B75+B76+B77+B78+B79+B83++B84+B88+B89</f>
        <v>0</v>
      </c>
    </row>
    <row r="74" spans="1:2" x14ac:dyDescent="0.25">
      <c r="A74" s="6" t="s">
        <v>80</v>
      </c>
      <c r="B74" s="9">
        <v>0</v>
      </c>
    </row>
    <row r="75" spans="1:2" x14ac:dyDescent="0.25">
      <c r="A75" s="6" t="s">
        <v>95</v>
      </c>
      <c r="B75" s="9">
        <v>0</v>
      </c>
    </row>
    <row r="76" spans="1:2" x14ac:dyDescent="0.25">
      <c r="A76" s="6" t="s">
        <v>82</v>
      </c>
      <c r="B76" s="9">
        <v>0</v>
      </c>
    </row>
    <row r="77" spans="1:2" x14ac:dyDescent="0.25">
      <c r="A77" s="6" t="s">
        <v>83</v>
      </c>
      <c r="B77" s="9">
        <v>0</v>
      </c>
    </row>
    <row r="78" spans="1:2" x14ac:dyDescent="0.25">
      <c r="A78" s="6" t="s">
        <v>84</v>
      </c>
      <c r="B78" s="9">
        <v>0</v>
      </c>
    </row>
    <row r="79" spans="1:2" x14ac:dyDescent="0.25">
      <c r="A79" s="6" t="s">
        <v>85</v>
      </c>
      <c r="B79" s="9">
        <f>B80+B81+B82</f>
        <v>0</v>
      </c>
    </row>
    <row r="80" spans="1:2" x14ac:dyDescent="0.25">
      <c r="A80" s="6" t="s">
        <v>86</v>
      </c>
      <c r="B80" s="9">
        <v>0</v>
      </c>
    </row>
    <row r="81" spans="1:4" x14ac:dyDescent="0.25">
      <c r="A81" s="6" t="s">
        <v>87</v>
      </c>
      <c r="B81" s="9">
        <v>0</v>
      </c>
      <c r="C81" s="11">
        <v>1</v>
      </c>
    </row>
    <row r="82" spans="1:4" x14ac:dyDescent="0.25">
      <c r="A82" s="6" t="s">
        <v>1463</v>
      </c>
      <c r="B82" s="9">
        <v>0</v>
      </c>
      <c r="C82" s="11"/>
    </row>
    <row r="83" spans="1:4" x14ac:dyDescent="0.25">
      <c r="A83" s="6" t="s">
        <v>88</v>
      </c>
      <c r="B83" s="9">
        <v>0</v>
      </c>
    </row>
    <row r="84" spans="1:4" x14ac:dyDescent="0.25">
      <c r="A84" s="6" t="s">
        <v>89</v>
      </c>
      <c r="B84" s="9">
        <v>0</v>
      </c>
    </row>
    <row r="85" spans="1:4" x14ac:dyDescent="0.25">
      <c r="A85" s="6" t="s">
        <v>90</v>
      </c>
      <c r="B85" s="9">
        <v>0</v>
      </c>
    </row>
    <row r="86" spans="1:4" x14ac:dyDescent="0.25">
      <c r="A86" s="6" t="s">
        <v>91</v>
      </c>
      <c r="B86" s="9">
        <v>0</v>
      </c>
    </row>
    <row r="87" spans="1:4" x14ac:dyDescent="0.25">
      <c r="A87" s="6" t="s">
        <v>92</v>
      </c>
      <c r="B87" s="9">
        <v>0</v>
      </c>
    </row>
    <row r="88" spans="1:4" x14ac:dyDescent="0.25">
      <c r="A88" s="6" t="s">
        <v>1470</v>
      </c>
      <c r="B88" s="9">
        <v>0</v>
      </c>
    </row>
    <row r="89" spans="1:4" x14ac:dyDescent="0.25">
      <c r="A89" s="6" t="s">
        <v>1471</v>
      </c>
      <c r="B89" s="9">
        <v>0</v>
      </c>
    </row>
    <row r="90" spans="1:4" x14ac:dyDescent="0.25">
      <c r="A90" s="6" t="s">
        <v>96</v>
      </c>
      <c r="B90" s="9">
        <f>SUM(B91:B94)</f>
        <v>0</v>
      </c>
    </row>
    <row r="91" spans="1:4" x14ac:dyDescent="0.25">
      <c r="A91" s="6" t="s">
        <v>97</v>
      </c>
      <c r="B91" s="9">
        <v>0</v>
      </c>
    </row>
    <row r="92" spans="1:4" x14ac:dyDescent="0.25">
      <c r="A92" s="6" t="s">
        <v>98</v>
      </c>
      <c r="B92" s="9">
        <v>0</v>
      </c>
    </row>
    <row r="93" spans="1:4" x14ac:dyDescent="0.25">
      <c r="A93" s="6" t="s">
        <v>99</v>
      </c>
      <c r="B93" s="9">
        <v>0</v>
      </c>
      <c r="C93" s="11">
        <v>1</v>
      </c>
      <c r="D93" s="11">
        <v>178</v>
      </c>
    </row>
    <row r="94" spans="1:4" x14ac:dyDescent="0.25">
      <c r="A94" s="6" t="s">
        <v>100</v>
      </c>
      <c r="B94" s="9">
        <v>0</v>
      </c>
    </row>
    <row r="95" spans="1:4" x14ac:dyDescent="0.25">
      <c r="A95" s="6" t="s">
        <v>101</v>
      </c>
      <c r="B95" s="9">
        <f>B96+B101</f>
        <v>0</v>
      </c>
    </row>
    <row r="96" spans="1:4" x14ac:dyDescent="0.25">
      <c r="A96" s="6" t="s">
        <v>102</v>
      </c>
      <c r="B96" s="9">
        <f>SUM(B97:B100)</f>
        <v>0</v>
      </c>
    </row>
    <row r="97" spans="1:4" x14ac:dyDescent="0.25">
      <c r="A97" s="6" t="s">
        <v>103</v>
      </c>
      <c r="B97" s="9">
        <v>0</v>
      </c>
    </row>
    <row r="98" spans="1:4" x14ac:dyDescent="0.25">
      <c r="A98" s="6" t="s">
        <v>104</v>
      </c>
      <c r="B98" s="9">
        <v>0</v>
      </c>
    </row>
    <row r="99" spans="1:4" x14ac:dyDescent="0.25">
      <c r="A99" s="6" t="s">
        <v>105</v>
      </c>
      <c r="B99" s="9">
        <v>0</v>
      </c>
    </row>
    <row r="100" spans="1:4" x14ac:dyDescent="0.25">
      <c r="A100" s="6" t="s">
        <v>1473</v>
      </c>
      <c r="B100" s="9">
        <v>0</v>
      </c>
    </row>
    <row r="101" spans="1:4" x14ac:dyDescent="0.25">
      <c r="A101" s="6" t="s">
        <v>106</v>
      </c>
      <c r="B101" s="9">
        <f>SUM(B102:B104)</f>
        <v>0</v>
      </c>
    </row>
    <row r="102" spans="1:4" x14ac:dyDescent="0.25">
      <c r="A102" s="6" t="s">
        <v>103</v>
      </c>
      <c r="B102" s="9">
        <v>0</v>
      </c>
      <c r="C102" s="11">
        <v>1</v>
      </c>
      <c r="D102" s="11">
        <v>178</v>
      </c>
    </row>
    <row r="103" spans="1:4" x14ac:dyDescent="0.25">
      <c r="A103" s="6" t="s">
        <v>104</v>
      </c>
      <c r="B103" s="9">
        <v>0</v>
      </c>
      <c r="C103" s="11">
        <v>1</v>
      </c>
      <c r="D103" s="11">
        <v>178</v>
      </c>
    </row>
    <row r="104" spans="1:4" x14ac:dyDescent="0.25">
      <c r="A104" s="6" t="s">
        <v>105</v>
      </c>
      <c r="B104" s="9">
        <v>0</v>
      </c>
    </row>
    <row r="105" spans="1:4" x14ac:dyDescent="0.25">
      <c r="A105" s="6" t="s">
        <v>107</v>
      </c>
      <c r="B105" s="9">
        <v>0</v>
      </c>
    </row>
    <row r="106" spans="1:4" x14ac:dyDescent="0.25">
      <c r="A106" s="6" t="s">
        <v>108</v>
      </c>
      <c r="B106" s="9">
        <v>0</v>
      </c>
    </row>
    <row r="107" spans="1:4" x14ac:dyDescent="0.25">
      <c r="A107" s="6" t="s">
        <v>109</v>
      </c>
      <c r="B107" s="9">
        <v>0</v>
      </c>
    </row>
    <row r="108" spans="1:4" x14ac:dyDescent="0.25">
      <c r="A108" s="6" t="s">
        <v>110</v>
      </c>
      <c r="B108" s="9">
        <v>0</v>
      </c>
    </row>
    <row r="109" spans="1:4" x14ac:dyDescent="0.25">
      <c r="A109" s="6" t="s">
        <v>111</v>
      </c>
      <c r="B109" s="9">
        <v>0</v>
      </c>
    </row>
    <row r="110" spans="1:4" x14ac:dyDescent="0.25">
      <c r="A110" s="6" t="s">
        <v>112</v>
      </c>
      <c r="B110" s="9">
        <v>0</v>
      </c>
    </row>
    <row r="111" spans="1:4" x14ac:dyDescent="0.25">
      <c r="A111" s="6" t="s">
        <v>113</v>
      </c>
      <c r="B111" s="9">
        <v>0</v>
      </c>
    </row>
    <row r="112" spans="1:4" x14ac:dyDescent="0.25">
      <c r="A112" s="6" t="s">
        <v>114</v>
      </c>
      <c r="B112" s="9">
        <v>0</v>
      </c>
    </row>
    <row r="113" spans="1:2" x14ac:dyDescent="0.25">
      <c r="A113" s="6" t="s">
        <v>115</v>
      </c>
      <c r="B113" s="9">
        <f>B114+B118+B122+B126+B130+B134+B135+B136</f>
        <v>0</v>
      </c>
    </row>
    <row r="114" spans="1:2" x14ac:dyDescent="0.25">
      <c r="A114" s="6" t="s">
        <v>116</v>
      </c>
      <c r="B114" s="9">
        <v>0</v>
      </c>
    </row>
    <row r="115" spans="1:2" x14ac:dyDescent="0.25">
      <c r="A115" s="6" t="s">
        <v>117</v>
      </c>
      <c r="B115" s="9">
        <v>0</v>
      </c>
    </row>
    <row r="116" spans="1:2" x14ac:dyDescent="0.25">
      <c r="A116" s="6" t="s">
        <v>118</v>
      </c>
      <c r="B116" s="9">
        <v>0</v>
      </c>
    </row>
    <row r="117" spans="1:2" x14ac:dyDescent="0.25">
      <c r="A117" s="6" t="s">
        <v>119</v>
      </c>
      <c r="B117" s="9">
        <v>0</v>
      </c>
    </row>
    <row r="118" spans="1:2" x14ac:dyDescent="0.25">
      <c r="A118" s="6" t="s">
        <v>120</v>
      </c>
      <c r="B118" s="9">
        <v>0</v>
      </c>
    </row>
    <row r="119" spans="1:2" x14ac:dyDescent="0.25">
      <c r="A119" s="6" t="s">
        <v>121</v>
      </c>
      <c r="B119" s="9">
        <v>0</v>
      </c>
    </row>
    <row r="120" spans="1:2" x14ac:dyDescent="0.25">
      <c r="A120" s="6" t="s">
        <v>122</v>
      </c>
      <c r="B120" s="9">
        <v>0</v>
      </c>
    </row>
    <row r="121" spans="1:2" x14ac:dyDescent="0.25">
      <c r="A121" s="6" t="s">
        <v>123</v>
      </c>
      <c r="B121" s="9">
        <v>0</v>
      </c>
    </row>
    <row r="122" spans="1:2" x14ac:dyDescent="0.25">
      <c r="A122" s="6" t="s">
        <v>124</v>
      </c>
      <c r="B122" s="9">
        <v>0</v>
      </c>
    </row>
    <row r="123" spans="1:2" x14ac:dyDescent="0.25">
      <c r="A123" s="6" t="s">
        <v>125</v>
      </c>
      <c r="B123" s="9">
        <v>0</v>
      </c>
    </row>
    <row r="124" spans="1:2" x14ac:dyDescent="0.25">
      <c r="A124" s="6" t="s">
        <v>126</v>
      </c>
      <c r="B124" s="9">
        <v>0</v>
      </c>
    </row>
    <row r="125" spans="1:2" x14ac:dyDescent="0.25">
      <c r="A125" s="6" t="s">
        <v>127</v>
      </c>
      <c r="B125" s="9">
        <v>0</v>
      </c>
    </row>
    <row r="126" spans="1:2" x14ac:dyDescent="0.25">
      <c r="A126" s="6" t="s">
        <v>128</v>
      </c>
      <c r="B126" s="9">
        <v>0</v>
      </c>
    </row>
    <row r="127" spans="1:2" x14ac:dyDescent="0.25">
      <c r="A127" s="6" t="s">
        <v>129</v>
      </c>
      <c r="B127" s="9">
        <v>0</v>
      </c>
    </row>
    <row r="128" spans="1:2" x14ac:dyDescent="0.25">
      <c r="A128" s="6" t="s">
        <v>130</v>
      </c>
      <c r="B128" s="9">
        <v>0</v>
      </c>
    </row>
    <row r="129" spans="1:2" x14ac:dyDescent="0.25">
      <c r="A129" s="6" t="s">
        <v>110</v>
      </c>
      <c r="B129" s="9">
        <v>0</v>
      </c>
    </row>
    <row r="130" spans="1:2" x14ac:dyDescent="0.25">
      <c r="A130" s="6" t="s">
        <v>131</v>
      </c>
      <c r="B130" s="9">
        <v>0</v>
      </c>
    </row>
    <row r="131" spans="1:2" x14ac:dyDescent="0.25">
      <c r="A131" s="6" t="s">
        <v>132</v>
      </c>
      <c r="B131" s="9">
        <v>0</v>
      </c>
    </row>
    <row r="132" spans="1:2" x14ac:dyDescent="0.25">
      <c r="A132" s="6" t="s">
        <v>133</v>
      </c>
      <c r="B132" s="9">
        <v>0</v>
      </c>
    </row>
    <row r="133" spans="1:2" x14ac:dyDescent="0.25">
      <c r="A133" s="6" t="s">
        <v>134</v>
      </c>
      <c r="B133" s="9">
        <v>0</v>
      </c>
    </row>
    <row r="134" spans="1:2" x14ac:dyDescent="0.25">
      <c r="A134" s="6" t="s">
        <v>135</v>
      </c>
      <c r="B134" s="9">
        <v>0</v>
      </c>
    </row>
    <row r="135" spans="1:2" x14ac:dyDescent="0.25">
      <c r="A135" s="6" t="s">
        <v>136</v>
      </c>
      <c r="B135" s="9">
        <v>0</v>
      </c>
    </row>
    <row r="136" spans="1:2" x14ac:dyDescent="0.25">
      <c r="A136" s="6" t="s">
        <v>137</v>
      </c>
      <c r="B136" s="9">
        <v>0</v>
      </c>
    </row>
    <row r="137" spans="1:2" x14ac:dyDescent="0.25">
      <c r="A137" s="6" t="s">
        <v>138</v>
      </c>
      <c r="B137" s="9">
        <f>B141+B142+B148+B149+B153+B154+B155+B156+B157+B163+B164+B165+B166+B167+B168+B169</f>
        <v>0</v>
      </c>
    </row>
    <row r="138" spans="1:2" x14ac:dyDescent="0.25">
      <c r="A138" s="6" t="s">
        <v>139</v>
      </c>
      <c r="B138" s="9">
        <v>0</v>
      </c>
    </row>
    <row r="139" spans="1:2" x14ac:dyDescent="0.25">
      <c r="A139" s="6" t="s">
        <v>140</v>
      </c>
      <c r="B139" s="9">
        <v>0</v>
      </c>
    </row>
    <row r="140" spans="1:2" x14ac:dyDescent="0.25">
      <c r="A140" s="6" t="s">
        <v>141</v>
      </c>
      <c r="B140" s="9">
        <v>0</v>
      </c>
    </row>
    <row r="141" spans="1:2" x14ac:dyDescent="0.25">
      <c r="A141" s="6" t="s">
        <v>142</v>
      </c>
      <c r="B141" s="9">
        <v>0</v>
      </c>
    </row>
    <row r="142" spans="1:2" x14ac:dyDescent="0.25">
      <c r="A142" s="6" t="s">
        <v>143</v>
      </c>
      <c r="B142" s="9">
        <v>0</v>
      </c>
    </row>
    <row r="143" spans="1:2" x14ac:dyDescent="0.25">
      <c r="A143" s="6" t="s">
        <v>144</v>
      </c>
      <c r="B143" s="9">
        <v>0</v>
      </c>
    </row>
    <row r="144" spans="1:2" x14ac:dyDescent="0.25">
      <c r="A144" s="6" t="s">
        <v>145</v>
      </c>
      <c r="B144" s="9">
        <v>0</v>
      </c>
    </row>
    <row r="145" spans="1:2" x14ac:dyDescent="0.25">
      <c r="A145" s="6" t="s">
        <v>146</v>
      </c>
      <c r="B145" s="9">
        <v>0</v>
      </c>
    </row>
    <row r="146" spans="1:2" x14ac:dyDescent="0.25">
      <c r="A146" s="6" t="s">
        <v>147</v>
      </c>
      <c r="B146" s="9">
        <v>0</v>
      </c>
    </row>
    <row r="147" spans="1:2" x14ac:dyDescent="0.25">
      <c r="A147" s="6" t="s">
        <v>148</v>
      </c>
      <c r="B147" s="9">
        <v>0</v>
      </c>
    </row>
    <row r="148" spans="1:2" x14ac:dyDescent="0.25">
      <c r="A148" s="6" t="s">
        <v>149</v>
      </c>
      <c r="B148" s="9">
        <v>0</v>
      </c>
    </row>
    <row r="149" spans="1:2" x14ac:dyDescent="0.25">
      <c r="A149" s="6" t="s">
        <v>150</v>
      </c>
      <c r="B149" s="9">
        <v>0</v>
      </c>
    </row>
    <row r="150" spans="1:2" x14ac:dyDescent="0.25">
      <c r="A150" s="6" t="s">
        <v>151</v>
      </c>
      <c r="B150" s="9">
        <v>0</v>
      </c>
    </row>
    <row r="151" spans="1:2" x14ac:dyDescent="0.25">
      <c r="A151" s="6" t="s">
        <v>152</v>
      </c>
      <c r="B151" s="9">
        <v>0</v>
      </c>
    </row>
    <row r="152" spans="1:2" x14ac:dyDescent="0.25">
      <c r="A152" s="6" t="s">
        <v>110</v>
      </c>
      <c r="B152" s="9">
        <v>0</v>
      </c>
    </row>
    <row r="153" spans="1:2" x14ac:dyDescent="0.25">
      <c r="A153" s="6" t="s">
        <v>153</v>
      </c>
      <c r="B153" s="9">
        <v>0</v>
      </c>
    </row>
    <row r="154" spans="1:2" x14ac:dyDescent="0.25">
      <c r="A154" s="6" t="s">
        <v>154</v>
      </c>
      <c r="B154" s="9">
        <v>0</v>
      </c>
    </row>
    <row r="155" spans="1:2" x14ac:dyDescent="0.25">
      <c r="A155" s="6" t="s">
        <v>155</v>
      </c>
      <c r="B155" s="9">
        <v>0</v>
      </c>
    </row>
    <row r="156" spans="1:2" x14ac:dyDescent="0.25">
      <c r="A156" s="6" t="s">
        <v>156</v>
      </c>
      <c r="B156" s="9">
        <v>0</v>
      </c>
    </row>
    <row r="157" spans="1:2" x14ac:dyDescent="0.25">
      <c r="A157" s="6" t="s">
        <v>157</v>
      </c>
      <c r="B157" s="9">
        <v>0</v>
      </c>
    </row>
    <row r="158" spans="1:2" x14ac:dyDescent="0.25">
      <c r="A158" s="6" t="s">
        <v>158</v>
      </c>
      <c r="B158" s="9">
        <v>0</v>
      </c>
    </row>
    <row r="159" spans="1:2" x14ac:dyDescent="0.25">
      <c r="A159" s="6" t="s">
        <v>159</v>
      </c>
      <c r="B159" s="9">
        <v>0</v>
      </c>
    </row>
    <row r="160" spans="1:2" x14ac:dyDescent="0.25">
      <c r="A160" s="6" t="s">
        <v>160</v>
      </c>
      <c r="B160" s="9">
        <v>0</v>
      </c>
    </row>
    <row r="161" spans="1:2" x14ac:dyDescent="0.25">
      <c r="A161" s="6" t="s">
        <v>161</v>
      </c>
      <c r="B161" s="9">
        <v>0</v>
      </c>
    </row>
    <row r="162" spans="1:2" x14ac:dyDescent="0.25">
      <c r="A162" s="6" t="s">
        <v>148</v>
      </c>
      <c r="B162" s="9">
        <v>0</v>
      </c>
    </row>
    <row r="163" spans="1:2" x14ac:dyDescent="0.25">
      <c r="A163" s="6" t="s">
        <v>162</v>
      </c>
      <c r="B163" s="9">
        <v>0</v>
      </c>
    </row>
    <row r="164" spans="1:2" x14ac:dyDescent="0.25">
      <c r="A164" s="6" t="s">
        <v>163</v>
      </c>
      <c r="B164" s="9">
        <v>0</v>
      </c>
    </row>
    <row r="165" spans="1:2" x14ac:dyDescent="0.25">
      <c r="A165" s="6" t="s">
        <v>164</v>
      </c>
      <c r="B165" s="9">
        <v>0</v>
      </c>
    </row>
    <row r="166" spans="1:2" x14ac:dyDescent="0.25">
      <c r="A166" s="6" t="s">
        <v>165</v>
      </c>
      <c r="B166" s="9">
        <v>0</v>
      </c>
    </row>
    <row r="167" spans="1:2" x14ac:dyDescent="0.25">
      <c r="A167" s="6" t="s">
        <v>166</v>
      </c>
      <c r="B167" s="9">
        <v>0</v>
      </c>
    </row>
    <row r="168" spans="1:2" x14ac:dyDescent="0.25">
      <c r="A168" s="6" t="s">
        <v>167</v>
      </c>
      <c r="B168" s="9">
        <v>0</v>
      </c>
    </row>
    <row r="169" spans="1:2" x14ac:dyDescent="0.25">
      <c r="A169" s="6" t="s">
        <v>168</v>
      </c>
      <c r="B169" s="9">
        <v>0</v>
      </c>
    </row>
    <row r="170" spans="1:2" x14ac:dyDescent="0.25">
      <c r="A170" s="6" t="s">
        <v>169</v>
      </c>
      <c r="B170" s="9">
        <v>0</v>
      </c>
    </row>
    <row r="171" spans="1:2" x14ac:dyDescent="0.25">
      <c r="A171" s="6" t="s">
        <v>170</v>
      </c>
      <c r="B171" s="9">
        <v>0</v>
      </c>
    </row>
    <row r="172" spans="1:2" x14ac:dyDescent="0.25">
      <c r="A172" s="6" t="s">
        <v>171</v>
      </c>
      <c r="B172" s="9">
        <v>0</v>
      </c>
    </row>
    <row r="173" spans="1:2" x14ac:dyDescent="0.25">
      <c r="A173" s="6" t="s">
        <v>172</v>
      </c>
      <c r="B173" s="9">
        <v>0</v>
      </c>
    </row>
    <row r="174" spans="1:2" x14ac:dyDescent="0.25">
      <c r="A174" s="6" t="s">
        <v>173</v>
      </c>
      <c r="B174" s="9">
        <v>0</v>
      </c>
    </row>
    <row r="175" spans="1:2" x14ac:dyDescent="0.25">
      <c r="A175" s="6" t="s">
        <v>174</v>
      </c>
      <c r="B175" s="9">
        <v>0</v>
      </c>
    </row>
    <row r="176" spans="1:2" x14ac:dyDescent="0.25">
      <c r="A176" s="6" t="s">
        <v>175</v>
      </c>
      <c r="B176" s="9">
        <v>0</v>
      </c>
    </row>
    <row r="177" spans="1:3" x14ac:dyDescent="0.25">
      <c r="A177" s="6" t="s">
        <v>176</v>
      </c>
      <c r="B177" s="9">
        <v>0</v>
      </c>
    </row>
    <row r="178" spans="1:3" x14ac:dyDescent="0.25">
      <c r="A178" s="6" t="s">
        <v>177</v>
      </c>
      <c r="B178" s="9">
        <v>0</v>
      </c>
    </row>
    <row r="179" spans="1:3" x14ac:dyDescent="0.25">
      <c r="A179" s="6" t="s">
        <v>178</v>
      </c>
      <c r="B179" s="9">
        <v>0</v>
      </c>
    </row>
    <row r="180" spans="1:3" x14ac:dyDescent="0.25">
      <c r="A180" s="6" t="s">
        <v>179</v>
      </c>
      <c r="B180" s="9">
        <v>0</v>
      </c>
    </row>
    <row r="181" spans="1:3" x14ac:dyDescent="0.25">
      <c r="A181" s="6" t="s">
        <v>180</v>
      </c>
      <c r="B181" s="9">
        <v>0</v>
      </c>
    </row>
    <row r="182" spans="1:3" x14ac:dyDescent="0.25">
      <c r="A182" s="6" t="s">
        <v>181</v>
      </c>
      <c r="B182" s="9">
        <v>0</v>
      </c>
    </row>
    <row r="183" spans="1:3" x14ac:dyDescent="0.25">
      <c r="A183" s="6" t="s">
        <v>182</v>
      </c>
      <c r="B183" s="9">
        <v>0</v>
      </c>
    </row>
    <row r="184" spans="1:3" x14ac:dyDescent="0.25">
      <c r="A184" s="6" t="s">
        <v>183</v>
      </c>
      <c r="B184" s="9">
        <v>0</v>
      </c>
    </row>
    <row r="185" spans="1:3" x14ac:dyDescent="0.25">
      <c r="A185" s="6" t="s">
        <v>184</v>
      </c>
      <c r="B185" s="9">
        <f>B187+B188+B189+B190+B191+B192+B193+B194+B195-B196-B202</f>
        <v>0</v>
      </c>
    </row>
    <row r="186" spans="1:3" x14ac:dyDescent="0.25">
      <c r="A186" s="6" t="s">
        <v>185</v>
      </c>
      <c r="B186" s="9">
        <v>0</v>
      </c>
    </row>
    <row r="187" spans="1:3" x14ac:dyDescent="0.25">
      <c r="A187" s="6" t="s">
        <v>186</v>
      </c>
      <c r="B187" s="9">
        <v>0</v>
      </c>
    </row>
    <row r="188" spans="1:3" x14ac:dyDescent="0.25">
      <c r="A188" s="6" t="s">
        <v>187</v>
      </c>
      <c r="B188" s="9">
        <v>0</v>
      </c>
    </row>
    <row r="189" spans="1:3" x14ac:dyDescent="0.25">
      <c r="A189" s="6" t="s">
        <v>188</v>
      </c>
      <c r="B189" s="9">
        <v>0</v>
      </c>
    </row>
    <row r="190" spans="1:3" x14ac:dyDescent="0.25">
      <c r="A190" s="6" t="s">
        <v>189</v>
      </c>
      <c r="B190" s="9">
        <v>0</v>
      </c>
    </row>
    <row r="191" spans="1:3" x14ac:dyDescent="0.25">
      <c r="A191" s="6" t="s">
        <v>190</v>
      </c>
      <c r="B191" s="9">
        <v>0</v>
      </c>
      <c r="C191" s="11">
        <v>1</v>
      </c>
    </row>
    <row r="192" spans="1:3" x14ac:dyDescent="0.25">
      <c r="A192" s="6" t="s">
        <v>191</v>
      </c>
      <c r="B192" s="9">
        <v>0</v>
      </c>
    </row>
    <row r="193" spans="1:3" x14ac:dyDescent="0.25">
      <c r="A193" s="6" t="s">
        <v>192</v>
      </c>
      <c r="B193" s="9">
        <v>0</v>
      </c>
    </row>
    <row r="194" spans="1:3" x14ac:dyDescent="0.25">
      <c r="A194" s="6" t="s">
        <v>193</v>
      </c>
      <c r="B194" s="9">
        <v>0</v>
      </c>
    </row>
    <row r="195" spans="1:3" x14ac:dyDescent="0.25">
      <c r="A195" s="6" t="s">
        <v>194</v>
      </c>
      <c r="B195" s="9">
        <v>0</v>
      </c>
      <c r="C195" s="11">
        <v>1</v>
      </c>
    </row>
    <row r="196" spans="1:3" x14ac:dyDescent="0.25">
      <c r="A196" s="6" t="s">
        <v>195</v>
      </c>
      <c r="B196" s="9">
        <f>SUM(B198:B201)</f>
        <v>0</v>
      </c>
    </row>
    <row r="197" spans="1:3" x14ac:dyDescent="0.25">
      <c r="A197" s="6" t="s">
        <v>196</v>
      </c>
      <c r="B197" s="9">
        <v>0</v>
      </c>
    </row>
    <row r="198" spans="1:3" x14ac:dyDescent="0.25">
      <c r="A198" s="6" t="s">
        <v>197</v>
      </c>
      <c r="B198" s="9">
        <v>0</v>
      </c>
    </row>
    <row r="199" spans="1:3" x14ac:dyDescent="0.25">
      <c r="A199" s="6" t="s">
        <v>198</v>
      </c>
      <c r="B199" s="9">
        <v>0</v>
      </c>
    </row>
    <row r="200" spans="1:3" x14ac:dyDescent="0.25">
      <c r="A200" s="6" t="s">
        <v>199</v>
      </c>
      <c r="B200" s="9">
        <v>0</v>
      </c>
      <c r="C200" s="11">
        <v>1</v>
      </c>
    </row>
    <row r="201" spans="1:3" x14ac:dyDescent="0.25">
      <c r="A201" s="6" t="s">
        <v>148</v>
      </c>
      <c r="B201" s="9">
        <v>0</v>
      </c>
      <c r="C201" s="11">
        <v>1</v>
      </c>
    </row>
    <row r="202" spans="1:3" x14ac:dyDescent="0.25">
      <c r="A202" s="6" t="s">
        <v>200</v>
      </c>
      <c r="B202" s="9">
        <v>0</v>
      </c>
    </row>
    <row r="203" spans="1:3" x14ac:dyDescent="0.25">
      <c r="A203" s="6" t="s">
        <v>201</v>
      </c>
      <c r="B203" s="9">
        <v>0</v>
      </c>
    </row>
    <row r="204" spans="1:3" x14ac:dyDescent="0.25">
      <c r="A204" s="6" t="s">
        <v>202</v>
      </c>
      <c r="B204" s="9">
        <v>0</v>
      </c>
    </row>
    <row r="205" spans="1:3" x14ac:dyDescent="0.25">
      <c r="A205" s="6" t="s">
        <v>203</v>
      </c>
      <c r="B205" s="9">
        <v>0</v>
      </c>
    </row>
    <row r="206" spans="1:3" x14ac:dyDescent="0.25">
      <c r="A206" s="6" t="s">
        <v>204</v>
      </c>
      <c r="B206" s="9">
        <v>0</v>
      </c>
    </row>
    <row r="207" spans="1:3" x14ac:dyDescent="0.25">
      <c r="A207" s="6" t="s">
        <v>205</v>
      </c>
      <c r="B207" s="9">
        <v>0</v>
      </c>
    </row>
    <row r="208" spans="1:3" x14ac:dyDescent="0.25">
      <c r="A208" s="6" t="s">
        <v>206</v>
      </c>
      <c r="B208" s="9">
        <v>0</v>
      </c>
    </row>
    <row r="209" spans="1:2" x14ac:dyDescent="0.25">
      <c r="A209" s="6" t="s">
        <v>207</v>
      </c>
      <c r="B209" s="9">
        <v>0</v>
      </c>
    </row>
    <row r="210" spans="1:2" x14ac:dyDescent="0.25">
      <c r="A210" s="6" t="s">
        <v>208</v>
      </c>
      <c r="B210" s="9">
        <v>0</v>
      </c>
    </row>
    <row r="211" spans="1:2" x14ac:dyDescent="0.25">
      <c r="A211" s="6" t="s">
        <v>209</v>
      </c>
      <c r="B211" s="9">
        <v>0</v>
      </c>
    </row>
    <row r="212" spans="1:2" x14ac:dyDescent="0.25">
      <c r="A212" s="6" t="s">
        <v>210</v>
      </c>
      <c r="B212" s="9">
        <v>0</v>
      </c>
    </row>
    <row r="213" spans="1:2" x14ac:dyDescent="0.25">
      <c r="A213" s="6" t="s">
        <v>211</v>
      </c>
      <c r="B213" s="9">
        <v>0</v>
      </c>
    </row>
    <row r="214" spans="1:2" x14ac:dyDescent="0.25">
      <c r="A214" s="6" t="s">
        <v>212</v>
      </c>
      <c r="B214" s="9">
        <f>B217+B233+B254+B259+B260+B264+B265+B266+B269+B275+B280+B284+B291+B292+B293+B294+B295+B303</f>
        <v>0</v>
      </c>
    </row>
    <row r="215" spans="1:2" x14ac:dyDescent="0.25">
      <c r="A215" s="6" t="s">
        <v>139</v>
      </c>
      <c r="B215" s="9">
        <v>0</v>
      </c>
    </row>
    <row r="216" spans="1:2" x14ac:dyDescent="0.25">
      <c r="A216" s="6" t="s">
        <v>140</v>
      </c>
      <c r="B216" s="9">
        <v>0</v>
      </c>
    </row>
    <row r="217" spans="1:2" x14ac:dyDescent="0.25">
      <c r="A217" s="6" t="s">
        <v>213</v>
      </c>
      <c r="B217" s="9">
        <f>B218+B223+B228+B231+B232</f>
        <v>0</v>
      </c>
    </row>
    <row r="218" spans="1:2" x14ac:dyDescent="0.25">
      <c r="A218" s="6" t="s">
        <v>214</v>
      </c>
      <c r="B218" s="9">
        <f>SUM(B219:B222)</f>
        <v>0</v>
      </c>
    </row>
    <row r="219" spans="1:2" x14ac:dyDescent="0.25">
      <c r="A219" s="6" t="s">
        <v>215</v>
      </c>
      <c r="B219" s="9">
        <v>0</v>
      </c>
    </row>
    <row r="220" spans="1:2" x14ac:dyDescent="0.25">
      <c r="A220" s="6" t="s">
        <v>216</v>
      </c>
      <c r="B220" s="9">
        <v>0</v>
      </c>
    </row>
    <row r="221" spans="1:2" x14ac:dyDescent="0.25">
      <c r="A221" s="6" t="s">
        <v>217</v>
      </c>
      <c r="B221" s="9">
        <v>0</v>
      </c>
    </row>
    <row r="222" spans="1:2" x14ac:dyDescent="0.25">
      <c r="A222" s="6" t="s">
        <v>218</v>
      </c>
      <c r="B222" s="9">
        <v>0</v>
      </c>
    </row>
    <row r="223" spans="1:2" x14ac:dyDescent="0.25">
      <c r="A223" s="6" t="s">
        <v>219</v>
      </c>
      <c r="B223" s="9">
        <f>SUM(B224:B227)</f>
        <v>0</v>
      </c>
    </row>
    <row r="224" spans="1:2" x14ac:dyDescent="0.25">
      <c r="A224" s="6" t="s">
        <v>215</v>
      </c>
      <c r="B224" s="9">
        <v>0</v>
      </c>
    </row>
    <row r="225" spans="1:2" x14ac:dyDescent="0.25">
      <c r="A225" s="6" t="s">
        <v>216</v>
      </c>
      <c r="B225" s="9">
        <v>0</v>
      </c>
    </row>
    <row r="226" spans="1:2" x14ac:dyDescent="0.25">
      <c r="A226" s="6" t="s">
        <v>217</v>
      </c>
      <c r="B226" s="9">
        <v>0</v>
      </c>
    </row>
    <row r="227" spans="1:2" x14ac:dyDescent="0.25">
      <c r="A227" s="6" t="s">
        <v>218</v>
      </c>
      <c r="B227" s="9">
        <v>0</v>
      </c>
    </row>
    <row r="228" spans="1:2" x14ac:dyDescent="0.25">
      <c r="A228" s="6" t="s">
        <v>220</v>
      </c>
      <c r="B228" s="9">
        <f>SUM(B229:B230)</f>
        <v>0</v>
      </c>
    </row>
    <row r="229" spans="1:2" x14ac:dyDescent="0.25">
      <c r="A229" s="6" t="s">
        <v>221</v>
      </c>
      <c r="B229" s="9">
        <v>0</v>
      </c>
    </row>
    <row r="230" spans="1:2" x14ac:dyDescent="0.25">
      <c r="A230" s="6" t="s">
        <v>222</v>
      </c>
      <c r="B230" s="9">
        <v>0</v>
      </c>
    </row>
    <row r="231" spans="1:2" x14ac:dyDescent="0.25">
      <c r="A231" s="6" t="s">
        <v>223</v>
      </c>
      <c r="B231" s="9">
        <v>0</v>
      </c>
    </row>
    <row r="232" spans="1:2" x14ac:dyDescent="0.25">
      <c r="A232" s="6" t="s">
        <v>148</v>
      </c>
      <c r="B232" s="9">
        <v>0</v>
      </c>
    </row>
    <row r="233" spans="1:2" x14ac:dyDescent="0.25">
      <c r="A233" s="6" t="s">
        <v>224</v>
      </c>
      <c r="B233" s="9">
        <f>B234+B246+B251+B252+B253</f>
        <v>0</v>
      </c>
    </row>
    <row r="234" spans="1:2" x14ac:dyDescent="0.25">
      <c r="A234" s="6" t="s">
        <v>225</v>
      </c>
      <c r="B234" s="9">
        <f>SUM(B235:B245)</f>
        <v>0</v>
      </c>
    </row>
    <row r="235" spans="1:2" x14ac:dyDescent="0.25">
      <c r="A235" s="6" t="s">
        <v>226</v>
      </c>
      <c r="B235" s="9">
        <v>0</v>
      </c>
    </row>
    <row r="236" spans="1:2" x14ac:dyDescent="0.25">
      <c r="A236" s="6" t="s">
        <v>227</v>
      </c>
      <c r="B236" s="9">
        <v>0</v>
      </c>
    </row>
    <row r="237" spans="1:2" x14ac:dyDescent="0.25">
      <c r="A237" s="6" t="s">
        <v>228</v>
      </c>
      <c r="B237" s="9">
        <v>0</v>
      </c>
    </row>
    <row r="238" spans="1:2" x14ac:dyDescent="0.25">
      <c r="A238" s="6" t="s">
        <v>229</v>
      </c>
      <c r="B238" s="9">
        <v>0</v>
      </c>
    </row>
    <row r="239" spans="1:2" x14ac:dyDescent="0.25">
      <c r="A239" s="6" t="s">
        <v>230</v>
      </c>
      <c r="B239" s="9">
        <v>0</v>
      </c>
    </row>
    <row r="240" spans="1:2" x14ac:dyDescent="0.25">
      <c r="A240" s="6" t="s">
        <v>231</v>
      </c>
      <c r="B240" s="9">
        <v>0</v>
      </c>
    </row>
    <row r="241" spans="1:2" x14ac:dyDescent="0.25">
      <c r="A241" s="6" t="s">
        <v>232</v>
      </c>
      <c r="B241" s="9">
        <v>0</v>
      </c>
    </row>
    <row r="242" spans="1:2" x14ac:dyDescent="0.25">
      <c r="A242" s="6" t="s">
        <v>233</v>
      </c>
      <c r="B242" s="9">
        <v>0</v>
      </c>
    </row>
    <row r="243" spans="1:2" x14ac:dyDescent="0.25">
      <c r="A243" s="6" t="s">
        <v>234</v>
      </c>
      <c r="B243" s="9">
        <v>0</v>
      </c>
    </row>
    <row r="244" spans="1:2" x14ac:dyDescent="0.25">
      <c r="A244" s="6" t="s">
        <v>1474</v>
      </c>
      <c r="B244" s="9">
        <v>0</v>
      </c>
    </row>
    <row r="245" spans="1:2" x14ac:dyDescent="0.25">
      <c r="A245" s="6" t="s">
        <v>1475</v>
      </c>
      <c r="B245" s="9">
        <v>0</v>
      </c>
    </row>
    <row r="246" spans="1:2" x14ac:dyDescent="0.25">
      <c r="A246" s="6" t="s">
        <v>235</v>
      </c>
      <c r="B246" s="9">
        <v>0</v>
      </c>
    </row>
    <row r="247" spans="1:2" x14ac:dyDescent="0.25">
      <c r="A247" s="6" t="s">
        <v>236</v>
      </c>
      <c r="B247" s="9">
        <v>0</v>
      </c>
    </row>
    <row r="248" spans="1:2" x14ac:dyDescent="0.25">
      <c r="A248" s="6" t="s">
        <v>237</v>
      </c>
      <c r="B248" s="9">
        <v>0</v>
      </c>
    </row>
    <row r="249" spans="1:2" x14ac:dyDescent="0.25">
      <c r="A249" s="6" t="s">
        <v>238</v>
      </c>
      <c r="B249" s="9">
        <v>0</v>
      </c>
    </row>
    <row r="250" spans="1:2" x14ac:dyDescent="0.25">
      <c r="A250" s="6" t="s">
        <v>218</v>
      </c>
      <c r="B250" s="9">
        <v>0</v>
      </c>
    </row>
    <row r="251" spans="1:2" x14ac:dyDescent="0.25">
      <c r="A251" s="6" t="s">
        <v>239</v>
      </c>
      <c r="B251" s="9">
        <v>0</v>
      </c>
    </row>
    <row r="252" spans="1:2" x14ac:dyDescent="0.25">
      <c r="A252" s="6" t="s">
        <v>240</v>
      </c>
      <c r="B252" s="9">
        <v>0</v>
      </c>
    </row>
    <row r="253" spans="1:2" x14ac:dyDescent="0.25">
      <c r="A253" s="6" t="s">
        <v>148</v>
      </c>
      <c r="B253" s="9">
        <v>0</v>
      </c>
    </row>
    <row r="254" spans="1:2" x14ac:dyDescent="0.25">
      <c r="A254" s="6" t="s">
        <v>241</v>
      </c>
      <c r="B254" s="9">
        <f>SUM(B255:B258)</f>
        <v>0</v>
      </c>
    </row>
    <row r="255" spans="1:2" x14ac:dyDescent="0.25">
      <c r="A255" s="6" t="s">
        <v>242</v>
      </c>
      <c r="B255" s="9">
        <v>0</v>
      </c>
    </row>
    <row r="256" spans="1:2" x14ac:dyDescent="0.25">
      <c r="A256" s="6" t="s">
        <v>243</v>
      </c>
      <c r="B256" s="9">
        <v>0</v>
      </c>
    </row>
    <row r="257" spans="1:3" x14ac:dyDescent="0.25">
      <c r="A257" s="6" t="s">
        <v>244</v>
      </c>
      <c r="B257" s="9">
        <v>0</v>
      </c>
    </row>
    <row r="258" spans="1:3" x14ac:dyDescent="0.25">
      <c r="A258" s="6" t="s">
        <v>100</v>
      </c>
      <c r="B258" s="9">
        <v>0</v>
      </c>
    </row>
    <row r="259" spans="1:3" x14ac:dyDescent="0.25">
      <c r="A259" s="6" t="s">
        <v>245</v>
      </c>
      <c r="B259" s="9">
        <v>0</v>
      </c>
    </row>
    <row r="260" spans="1:3" x14ac:dyDescent="0.25">
      <c r="A260" s="6" t="s">
        <v>246</v>
      </c>
      <c r="B260" s="9">
        <f>B261+B262+B263</f>
        <v>0</v>
      </c>
    </row>
    <row r="261" spans="1:3" x14ac:dyDescent="0.25">
      <c r="A261" s="6" t="s">
        <v>247</v>
      </c>
      <c r="B261" s="10">
        <v>0</v>
      </c>
      <c r="C261" s="11">
        <v>1</v>
      </c>
    </row>
    <row r="262" spans="1:3" x14ac:dyDescent="0.25">
      <c r="A262" s="6" t="s">
        <v>248</v>
      </c>
      <c r="B262" s="10">
        <v>0</v>
      </c>
      <c r="C262" s="11">
        <v>1</v>
      </c>
    </row>
    <row r="263" spans="1:3" x14ac:dyDescent="0.25">
      <c r="A263" s="6" t="s">
        <v>110</v>
      </c>
      <c r="B263" s="9">
        <v>0</v>
      </c>
    </row>
    <row r="264" spans="1:3" x14ac:dyDescent="0.25">
      <c r="A264" s="6" t="s">
        <v>249</v>
      </c>
      <c r="B264" s="9">
        <v>0</v>
      </c>
    </row>
    <row r="265" spans="1:3" x14ac:dyDescent="0.25">
      <c r="A265" s="6" t="s">
        <v>250</v>
      </c>
      <c r="B265" s="9">
        <v>0</v>
      </c>
    </row>
    <row r="266" spans="1:3" x14ac:dyDescent="0.25">
      <c r="A266" s="6" t="s">
        <v>251</v>
      </c>
      <c r="B266" s="9">
        <v>0</v>
      </c>
    </row>
    <row r="267" spans="1:3" x14ac:dyDescent="0.25">
      <c r="A267" s="6" t="s">
        <v>252</v>
      </c>
      <c r="B267" s="9">
        <v>0</v>
      </c>
    </row>
    <row r="268" spans="1:3" x14ac:dyDescent="0.25">
      <c r="A268" s="6" t="s">
        <v>253</v>
      </c>
      <c r="B268" s="9">
        <v>0</v>
      </c>
    </row>
    <row r="269" spans="1:3" x14ac:dyDescent="0.25">
      <c r="A269" s="6" t="s">
        <v>254</v>
      </c>
      <c r="B269" s="9">
        <f>B272+B274</f>
        <v>0</v>
      </c>
    </row>
    <row r="270" spans="1:3" x14ac:dyDescent="0.25">
      <c r="A270" s="6" t="s">
        <v>255</v>
      </c>
      <c r="B270" s="9">
        <v>0</v>
      </c>
    </row>
    <row r="271" spans="1:3" x14ac:dyDescent="0.25">
      <c r="A271" s="6" t="s">
        <v>256</v>
      </c>
      <c r="B271" s="9">
        <v>0</v>
      </c>
    </row>
    <row r="272" spans="1:3" x14ac:dyDescent="0.25">
      <c r="A272" s="6" t="s">
        <v>257</v>
      </c>
      <c r="B272" s="9">
        <v>0</v>
      </c>
      <c r="C272" s="11">
        <v>1</v>
      </c>
    </row>
    <row r="273" spans="1:3" x14ac:dyDescent="0.25">
      <c r="A273" s="6" t="s">
        <v>258</v>
      </c>
      <c r="B273" s="9">
        <v>0</v>
      </c>
    </row>
    <row r="274" spans="1:3" x14ac:dyDescent="0.25">
      <c r="A274" s="6" t="s">
        <v>148</v>
      </c>
      <c r="B274" s="9">
        <v>0</v>
      </c>
      <c r="C274" s="11">
        <v>1</v>
      </c>
    </row>
    <row r="275" spans="1:3" x14ac:dyDescent="0.25">
      <c r="A275" s="6" t="s">
        <v>259</v>
      </c>
      <c r="B275" s="9">
        <v>0</v>
      </c>
    </row>
    <row r="276" spans="1:3" x14ac:dyDescent="0.25">
      <c r="A276" s="6" t="s">
        <v>260</v>
      </c>
      <c r="B276" s="9">
        <v>0</v>
      </c>
    </row>
    <row r="277" spans="1:3" x14ac:dyDescent="0.25">
      <c r="A277" s="6" t="s">
        <v>261</v>
      </c>
      <c r="B277" s="9">
        <v>0</v>
      </c>
    </row>
    <row r="278" spans="1:3" x14ac:dyDescent="0.25">
      <c r="A278" s="6" t="s">
        <v>262</v>
      </c>
      <c r="B278" s="9">
        <v>0</v>
      </c>
    </row>
    <row r="279" spans="1:3" x14ac:dyDescent="0.25">
      <c r="A279" s="6" t="s">
        <v>263</v>
      </c>
      <c r="B279" s="9">
        <v>0</v>
      </c>
    </row>
    <row r="280" spans="1:3" x14ac:dyDescent="0.25">
      <c r="A280" s="6" t="s">
        <v>264</v>
      </c>
      <c r="B280" s="9">
        <v>0</v>
      </c>
    </row>
    <row r="281" spans="1:3" x14ac:dyDescent="0.25">
      <c r="A281" s="6" t="s">
        <v>265</v>
      </c>
      <c r="B281" s="9">
        <v>0</v>
      </c>
    </row>
    <row r="282" spans="1:3" x14ac:dyDescent="0.25">
      <c r="A282" s="6" t="s">
        <v>266</v>
      </c>
      <c r="B282" s="9">
        <v>0</v>
      </c>
    </row>
    <row r="283" spans="1:3" x14ac:dyDescent="0.25">
      <c r="A283" s="6" t="s">
        <v>110</v>
      </c>
      <c r="B283" s="9">
        <v>0</v>
      </c>
    </row>
    <row r="284" spans="1:3" x14ac:dyDescent="0.25">
      <c r="A284" s="6" t="s">
        <v>267</v>
      </c>
      <c r="B284" s="9">
        <f>B288+B289</f>
        <v>0</v>
      </c>
    </row>
    <row r="285" spans="1:3" x14ac:dyDescent="0.25">
      <c r="A285" s="6" t="s">
        <v>260</v>
      </c>
      <c r="B285" s="9">
        <v>0</v>
      </c>
    </row>
    <row r="286" spans="1:3" x14ac:dyDescent="0.25">
      <c r="A286" s="6" t="s">
        <v>268</v>
      </c>
      <c r="B286" s="9">
        <v>0</v>
      </c>
    </row>
    <row r="287" spans="1:3" x14ac:dyDescent="0.25">
      <c r="A287" s="6" t="s">
        <v>269</v>
      </c>
      <c r="B287" s="9">
        <v>0</v>
      </c>
    </row>
    <row r="288" spans="1:3" x14ac:dyDescent="0.25">
      <c r="A288" s="6" t="s">
        <v>270</v>
      </c>
      <c r="B288" s="9">
        <v>0</v>
      </c>
    </row>
    <row r="289" spans="1:3" x14ac:dyDescent="0.25">
      <c r="A289" s="6" t="s">
        <v>271</v>
      </c>
      <c r="B289" s="9">
        <v>0</v>
      </c>
    </row>
    <row r="290" spans="1:3" x14ac:dyDescent="0.25">
      <c r="A290" s="6" t="s">
        <v>148</v>
      </c>
      <c r="B290" s="9">
        <v>0</v>
      </c>
    </row>
    <row r="291" spans="1:3" x14ac:dyDescent="0.25">
      <c r="A291" s="6" t="s">
        <v>272</v>
      </c>
      <c r="B291" s="9">
        <v>0</v>
      </c>
    </row>
    <row r="292" spans="1:3" x14ac:dyDescent="0.25">
      <c r="A292" s="6" t="s">
        <v>273</v>
      </c>
      <c r="B292" s="9">
        <v>0</v>
      </c>
    </row>
    <row r="293" spans="1:3" x14ac:dyDescent="0.25">
      <c r="A293" s="6" t="s">
        <v>274</v>
      </c>
      <c r="B293" s="9">
        <v>0</v>
      </c>
    </row>
    <row r="294" spans="1:3" x14ac:dyDescent="0.25">
      <c r="A294" s="6" t="s">
        <v>275</v>
      </c>
      <c r="B294" s="9">
        <v>0</v>
      </c>
    </row>
    <row r="295" spans="1:3" x14ac:dyDescent="0.25">
      <c r="A295" s="6" t="s">
        <v>276</v>
      </c>
      <c r="B295" s="9">
        <v>0</v>
      </c>
    </row>
    <row r="296" spans="1:3" x14ac:dyDescent="0.25">
      <c r="A296" s="6" t="s">
        <v>277</v>
      </c>
      <c r="B296" s="9">
        <v>0</v>
      </c>
    </row>
    <row r="297" spans="1:3" x14ac:dyDescent="0.25">
      <c r="A297" s="6" t="s">
        <v>278</v>
      </c>
      <c r="B297" s="9">
        <v>0</v>
      </c>
    </row>
    <row r="298" spans="1:3" x14ac:dyDescent="0.25">
      <c r="A298" s="6" t="s">
        <v>279</v>
      </c>
      <c r="B298" s="9">
        <v>0</v>
      </c>
    </row>
    <row r="299" spans="1:3" x14ac:dyDescent="0.25">
      <c r="A299" s="6" t="s">
        <v>280</v>
      </c>
      <c r="B299" s="9">
        <v>0</v>
      </c>
    </row>
    <row r="300" spans="1:3" x14ac:dyDescent="0.25">
      <c r="A300" s="6" t="s">
        <v>281</v>
      </c>
      <c r="B300" s="9">
        <v>0</v>
      </c>
    </row>
    <row r="301" spans="1:3" x14ac:dyDescent="0.25">
      <c r="A301" s="6" t="s">
        <v>282</v>
      </c>
      <c r="B301" s="9">
        <v>0</v>
      </c>
    </row>
    <row r="302" spans="1:3" x14ac:dyDescent="0.25">
      <c r="A302" s="6" t="s">
        <v>283</v>
      </c>
      <c r="B302" s="9">
        <v>0</v>
      </c>
    </row>
    <row r="303" spans="1:3" x14ac:dyDescent="0.25">
      <c r="A303" s="6" t="s">
        <v>1476</v>
      </c>
      <c r="B303" s="9">
        <v>0</v>
      </c>
    </row>
    <row r="304" spans="1:3" x14ac:dyDescent="0.25">
      <c r="A304" s="6" t="s">
        <v>284</v>
      </c>
      <c r="B304" s="7">
        <f>B305+B322+B355+B379+B415+B418</f>
        <v>0</v>
      </c>
      <c r="C304" s="8"/>
    </row>
    <row r="305" spans="1:2" x14ac:dyDescent="0.25">
      <c r="A305" s="6" t="s">
        <v>285</v>
      </c>
      <c r="B305" s="9">
        <f>B306+B314+B319+B320+B321</f>
        <v>0</v>
      </c>
    </row>
    <row r="306" spans="1:2" x14ac:dyDescent="0.25">
      <c r="A306" s="6" t="s">
        <v>286</v>
      </c>
      <c r="B306" s="9">
        <v>0</v>
      </c>
    </row>
    <row r="307" spans="1:2" x14ac:dyDescent="0.25">
      <c r="A307" s="6" t="s">
        <v>287</v>
      </c>
      <c r="B307" s="9">
        <v>0</v>
      </c>
    </row>
    <row r="308" spans="1:2" x14ac:dyDescent="0.25">
      <c r="A308" s="6" t="s">
        <v>288</v>
      </c>
      <c r="B308" s="9">
        <v>0</v>
      </c>
    </row>
    <row r="309" spans="1:2" x14ac:dyDescent="0.25">
      <c r="A309" s="6" t="s">
        <v>289</v>
      </c>
      <c r="B309" s="9">
        <v>0</v>
      </c>
    </row>
    <row r="310" spans="1:2" x14ac:dyDescent="0.25">
      <c r="A310" s="6" t="s">
        <v>290</v>
      </c>
      <c r="B310" s="9">
        <v>0</v>
      </c>
    </row>
    <row r="311" spans="1:2" x14ac:dyDescent="0.25">
      <c r="A311" s="6" t="s">
        <v>291</v>
      </c>
      <c r="B311" s="9">
        <v>0</v>
      </c>
    </row>
    <row r="312" spans="1:2" x14ac:dyDescent="0.25">
      <c r="A312" s="6" t="s">
        <v>292</v>
      </c>
      <c r="B312" s="9">
        <v>0</v>
      </c>
    </row>
    <row r="313" spans="1:2" x14ac:dyDescent="0.25">
      <c r="A313" s="6" t="s">
        <v>293</v>
      </c>
      <c r="B313" s="9">
        <v>0</v>
      </c>
    </row>
    <row r="314" spans="1:2" x14ac:dyDescent="0.25">
      <c r="A314" s="6" t="s">
        <v>294</v>
      </c>
      <c r="B314" s="9">
        <v>0</v>
      </c>
    </row>
    <row r="315" spans="1:2" x14ac:dyDescent="0.25">
      <c r="A315" s="6" t="s">
        <v>295</v>
      </c>
      <c r="B315" s="9">
        <v>0</v>
      </c>
    </row>
    <row r="316" spans="1:2" x14ac:dyDescent="0.25">
      <c r="A316" s="6" t="s">
        <v>296</v>
      </c>
      <c r="B316" s="9">
        <v>0</v>
      </c>
    </row>
    <row r="317" spans="1:2" x14ac:dyDescent="0.25">
      <c r="A317" s="6" t="s">
        <v>297</v>
      </c>
      <c r="B317" s="9">
        <v>0</v>
      </c>
    </row>
    <row r="318" spans="1:2" x14ac:dyDescent="0.25">
      <c r="A318" s="6" t="s">
        <v>100</v>
      </c>
      <c r="B318" s="9">
        <v>0</v>
      </c>
    </row>
    <row r="319" spans="1:2" x14ac:dyDescent="0.25">
      <c r="A319" s="6" t="s">
        <v>298</v>
      </c>
      <c r="B319" s="9">
        <v>0</v>
      </c>
    </row>
    <row r="320" spans="1:2" x14ac:dyDescent="0.25">
      <c r="A320" s="6" t="s">
        <v>299</v>
      </c>
      <c r="B320" s="9">
        <v>0</v>
      </c>
    </row>
    <row r="321" spans="1:2" x14ac:dyDescent="0.25">
      <c r="A321" s="6" t="s">
        <v>300</v>
      </c>
      <c r="B321" s="9">
        <v>0</v>
      </c>
    </row>
    <row r="322" spans="1:2" x14ac:dyDescent="0.25">
      <c r="A322" s="6" t="s">
        <v>301</v>
      </c>
      <c r="B322" s="9">
        <v>0</v>
      </c>
    </row>
    <row r="323" spans="1:2" x14ac:dyDescent="0.25">
      <c r="A323" s="6" t="s">
        <v>139</v>
      </c>
      <c r="B323" s="9">
        <v>0</v>
      </c>
    </row>
    <row r="324" spans="1:2" x14ac:dyDescent="0.25">
      <c r="A324" s="6" t="s">
        <v>140</v>
      </c>
      <c r="B324" s="9">
        <v>0</v>
      </c>
    </row>
    <row r="325" spans="1:2" x14ac:dyDescent="0.25">
      <c r="A325" s="6" t="s">
        <v>302</v>
      </c>
      <c r="B325" s="9">
        <v>0</v>
      </c>
    </row>
    <row r="326" spans="1:2" x14ac:dyDescent="0.25">
      <c r="A326" s="6" t="s">
        <v>303</v>
      </c>
      <c r="B326" s="9">
        <v>0</v>
      </c>
    </row>
    <row r="327" spans="1:2" x14ac:dyDescent="0.25">
      <c r="A327" s="6" t="s">
        <v>304</v>
      </c>
      <c r="B327" s="9">
        <v>0</v>
      </c>
    </row>
    <row r="328" spans="1:2" x14ac:dyDescent="0.25">
      <c r="A328" s="6" t="s">
        <v>305</v>
      </c>
      <c r="B328" s="9">
        <v>0</v>
      </c>
    </row>
    <row r="329" spans="1:2" x14ac:dyDescent="0.25">
      <c r="A329" s="6" t="s">
        <v>306</v>
      </c>
      <c r="B329" s="9">
        <v>0</v>
      </c>
    </row>
    <row r="330" spans="1:2" x14ac:dyDescent="0.25">
      <c r="A330" s="6" t="s">
        <v>307</v>
      </c>
      <c r="B330" s="9">
        <v>0</v>
      </c>
    </row>
    <row r="331" spans="1:2" x14ac:dyDescent="0.25">
      <c r="A331" s="6" t="s">
        <v>148</v>
      </c>
      <c r="B331" s="9">
        <v>0</v>
      </c>
    </row>
    <row r="332" spans="1:2" x14ac:dyDescent="0.25">
      <c r="A332" s="6" t="s">
        <v>308</v>
      </c>
      <c r="B332" s="9">
        <v>0</v>
      </c>
    </row>
    <row r="333" spans="1:2" x14ac:dyDescent="0.25">
      <c r="A333" s="6" t="s">
        <v>309</v>
      </c>
      <c r="B333" s="9">
        <v>0</v>
      </c>
    </row>
    <row r="334" spans="1:2" x14ac:dyDescent="0.25">
      <c r="A334" s="6" t="s">
        <v>80</v>
      </c>
      <c r="B334" s="9">
        <v>0</v>
      </c>
    </row>
    <row r="335" spans="1:2" x14ac:dyDescent="0.25">
      <c r="A335" s="6" t="s">
        <v>310</v>
      </c>
      <c r="B335" s="9">
        <v>0</v>
      </c>
    </row>
    <row r="336" spans="1:2" x14ac:dyDescent="0.25">
      <c r="A336" s="6" t="s">
        <v>311</v>
      </c>
      <c r="B336" s="9">
        <v>0</v>
      </c>
    </row>
    <row r="337" spans="1:2" x14ac:dyDescent="0.25">
      <c r="A337" s="6" t="s">
        <v>312</v>
      </c>
      <c r="B337" s="9">
        <v>0</v>
      </c>
    </row>
    <row r="338" spans="1:2" x14ac:dyDescent="0.25">
      <c r="A338" s="6" t="s">
        <v>148</v>
      </c>
      <c r="B338" s="9">
        <v>0</v>
      </c>
    </row>
    <row r="339" spans="1:2" x14ac:dyDescent="0.25">
      <c r="A339" s="6" t="s">
        <v>313</v>
      </c>
      <c r="B339" s="9">
        <v>0</v>
      </c>
    </row>
    <row r="340" spans="1:2" x14ac:dyDescent="0.25">
      <c r="A340" s="6" t="s">
        <v>314</v>
      </c>
      <c r="B340" s="9">
        <v>0</v>
      </c>
    </row>
    <row r="341" spans="1:2" x14ac:dyDescent="0.25">
      <c r="A341" s="6" t="s">
        <v>315</v>
      </c>
      <c r="B341" s="9">
        <v>0</v>
      </c>
    </row>
    <row r="342" spans="1:2" x14ac:dyDescent="0.25">
      <c r="A342" s="6" t="s">
        <v>110</v>
      </c>
      <c r="B342" s="9">
        <v>0</v>
      </c>
    </row>
    <row r="343" spans="1:2" x14ac:dyDescent="0.25">
      <c r="A343" s="6" t="s">
        <v>316</v>
      </c>
      <c r="B343" s="9">
        <v>0</v>
      </c>
    </row>
    <row r="344" spans="1:2" x14ac:dyDescent="0.25">
      <c r="A344" s="6" t="s">
        <v>317</v>
      </c>
      <c r="B344" s="9">
        <v>0</v>
      </c>
    </row>
    <row r="345" spans="1:2" x14ac:dyDescent="0.25">
      <c r="A345" s="6" t="s">
        <v>318</v>
      </c>
      <c r="B345" s="9">
        <v>0</v>
      </c>
    </row>
    <row r="346" spans="1:2" x14ac:dyDescent="0.25">
      <c r="A346" s="6" t="s">
        <v>319</v>
      </c>
      <c r="B346" s="9">
        <v>0</v>
      </c>
    </row>
    <row r="347" spans="1:2" x14ac:dyDescent="0.25">
      <c r="A347" s="6" t="s">
        <v>320</v>
      </c>
      <c r="B347" s="9">
        <v>0</v>
      </c>
    </row>
    <row r="348" spans="1:2" x14ac:dyDescent="0.25">
      <c r="A348" s="6" t="s">
        <v>321</v>
      </c>
      <c r="B348" s="9">
        <v>0</v>
      </c>
    </row>
    <row r="349" spans="1:2" x14ac:dyDescent="0.25">
      <c r="A349" s="6" t="s">
        <v>322</v>
      </c>
      <c r="B349" s="9">
        <v>0</v>
      </c>
    </row>
    <row r="350" spans="1:2" x14ac:dyDescent="0.25">
      <c r="A350" s="6" t="s">
        <v>319</v>
      </c>
      <c r="B350" s="9">
        <v>0</v>
      </c>
    </row>
    <row r="351" spans="1:2" x14ac:dyDescent="0.25">
      <c r="A351" s="6" t="s">
        <v>323</v>
      </c>
      <c r="B351" s="9">
        <v>0</v>
      </c>
    </row>
    <row r="352" spans="1:2" x14ac:dyDescent="0.25">
      <c r="A352" s="6" t="s">
        <v>324</v>
      </c>
      <c r="B352" s="9">
        <v>0</v>
      </c>
    </row>
    <row r="353" spans="1:2" x14ac:dyDescent="0.25">
      <c r="A353" s="6" t="s">
        <v>325</v>
      </c>
      <c r="B353" s="9">
        <v>0</v>
      </c>
    </row>
    <row r="354" spans="1:2" x14ac:dyDescent="0.25">
      <c r="A354" s="6" t="s">
        <v>326</v>
      </c>
      <c r="B354" s="9">
        <v>0</v>
      </c>
    </row>
    <row r="355" spans="1:2" x14ac:dyDescent="0.25">
      <c r="A355" s="6" t="s">
        <v>327</v>
      </c>
      <c r="B355" s="9">
        <v>0</v>
      </c>
    </row>
    <row r="356" spans="1:2" x14ac:dyDescent="0.25">
      <c r="A356" s="6" t="s">
        <v>116</v>
      </c>
      <c r="B356" s="9">
        <v>0</v>
      </c>
    </row>
    <row r="357" spans="1:2" x14ac:dyDescent="0.25">
      <c r="A357" s="6" t="s">
        <v>117</v>
      </c>
      <c r="B357" s="9">
        <v>0</v>
      </c>
    </row>
    <row r="358" spans="1:2" x14ac:dyDescent="0.25">
      <c r="A358" s="6" t="s">
        <v>118</v>
      </c>
      <c r="B358" s="9">
        <v>0</v>
      </c>
    </row>
    <row r="359" spans="1:2" x14ac:dyDescent="0.25">
      <c r="A359" s="6" t="s">
        <v>328</v>
      </c>
      <c r="B359" s="9">
        <v>0</v>
      </c>
    </row>
    <row r="360" spans="1:2" x14ac:dyDescent="0.25">
      <c r="A360" s="6" t="s">
        <v>120</v>
      </c>
      <c r="B360" s="9">
        <v>0</v>
      </c>
    </row>
    <row r="361" spans="1:2" x14ac:dyDescent="0.25">
      <c r="A361" s="6" t="s">
        <v>121</v>
      </c>
      <c r="B361" s="9">
        <v>0</v>
      </c>
    </row>
    <row r="362" spans="1:2" x14ac:dyDescent="0.25">
      <c r="A362" s="6" t="s">
        <v>122</v>
      </c>
      <c r="B362" s="9">
        <v>0</v>
      </c>
    </row>
    <row r="363" spans="1:2" x14ac:dyDescent="0.25">
      <c r="A363" s="6" t="s">
        <v>329</v>
      </c>
      <c r="B363" s="9">
        <v>0</v>
      </c>
    </row>
    <row r="364" spans="1:2" x14ac:dyDescent="0.25">
      <c r="A364" s="6" t="s">
        <v>124</v>
      </c>
      <c r="B364" s="9">
        <v>0</v>
      </c>
    </row>
    <row r="365" spans="1:2" x14ac:dyDescent="0.25">
      <c r="A365" s="6" t="s">
        <v>125</v>
      </c>
      <c r="B365" s="9">
        <v>0</v>
      </c>
    </row>
    <row r="366" spans="1:2" x14ac:dyDescent="0.25">
      <c r="A366" s="6" t="s">
        <v>126</v>
      </c>
      <c r="B366" s="9">
        <v>0</v>
      </c>
    </row>
    <row r="367" spans="1:2" x14ac:dyDescent="0.25">
      <c r="A367" s="6" t="s">
        <v>330</v>
      </c>
      <c r="B367" s="9">
        <v>0</v>
      </c>
    </row>
    <row r="368" spans="1:2" x14ac:dyDescent="0.25">
      <c r="A368" s="6" t="s">
        <v>128</v>
      </c>
      <c r="B368" s="9">
        <v>0</v>
      </c>
    </row>
    <row r="369" spans="1:2" x14ac:dyDescent="0.25">
      <c r="A369" s="6" t="s">
        <v>129</v>
      </c>
      <c r="B369" s="9">
        <v>0</v>
      </c>
    </row>
    <row r="370" spans="1:2" x14ac:dyDescent="0.25">
      <c r="A370" s="6" t="s">
        <v>331</v>
      </c>
      <c r="B370" s="9">
        <v>0</v>
      </c>
    </row>
    <row r="371" spans="1:2" x14ac:dyDescent="0.25">
      <c r="A371" s="6" t="s">
        <v>110</v>
      </c>
      <c r="B371" s="9">
        <v>0</v>
      </c>
    </row>
    <row r="372" spans="1:2" x14ac:dyDescent="0.25">
      <c r="A372" s="6" t="s">
        <v>131</v>
      </c>
      <c r="B372" s="9">
        <v>0</v>
      </c>
    </row>
    <row r="373" spans="1:2" x14ac:dyDescent="0.25">
      <c r="A373" s="6" t="s">
        <v>132</v>
      </c>
      <c r="B373" s="9">
        <v>0</v>
      </c>
    </row>
    <row r="374" spans="1:2" x14ac:dyDescent="0.25">
      <c r="A374" s="6" t="s">
        <v>133</v>
      </c>
      <c r="B374" s="9">
        <v>0</v>
      </c>
    </row>
    <row r="375" spans="1:2" x14ac:dyDescent="0.25">
      <c r="A375" s="6" t="s">
        <v>332</v>
      </c>
      <c r="B375" s="9">
        <v>0</v>
      </c>
    </row>
    <row r="376" spans="1:2" x14ac:dyDescent="0.25">
      <c r="A376" s="6" t="s">
        <v>333</v>
      </c>
      <c r="B376" s="9">
        <v>0</v>
      </c>
    </row>
    <row r="377" spans="1:2" x14ac:dyDescent="0.25">
      <c r="A377" s="6" t="s">
        <v>136</v>
      </c>
      <c r="B377" s="9">
        <v>0</v>
      </c>
    </row>
    <row r="378" spans="1:2" x14ac:dyDescent="0.25">
      <c r="A378" s="6" t="s">
        <v>137</v>
      </c>
      <c r="B378" s="9">
        <v>0</v>
      </c>
    </row>
    <row r="379" spans="1:2" x14ac:dyDescent="0.25">
      <c r="A379" s="6" t="s">
        <v>334</v>
      </c>
      <c r="B379" s="9">
        <f>B382++B389+B396+B397+B398+B399+B400++B401+B402+B403+B404+B405+B406+B409+B410+B411+B412+B413+B414</f>
        <v>0</v>
      </c>
    </row>
    <row r="380" spans="1:2" x14ac:dyDescent="0.25">
      <c r="A380" s="6" t="s">
        <v>139</v>
      </c>
      <c r="B380" s="9">
        <v>0</v>
      </c>
    </row>
    <row r="381" spans="1:2" x14ac:dyDescent="0.25">
      <c r="A381" s="6" t="s">
        <v>140</v>
      </c>
      <c r="B381" s="9">
        <v>0</v>
      </c>
    </row>
    <row r="382" spans="1:2" x14ac:dyDescent="0.25">
      <c r="A382" s="6" t="s">
        <v>335</v>
      </c>
      <c r="B382" s="9">
        <f>B383</f>
        <v>0</v>
      </c>
    </row>
    <row r="383" spans="1:2" x14ac:dyDescent="0.25">
      <c r="A383" s="6" t="s">
        <v>336</v>
      </c>
      <c r="B383" s="9">
        <v>0</v>
      </c>
    </row>
    <row r="384" spans="1:2" x14ac:dyDescent="0.25">
      <c r="A384" s="6" t="s">
        <v>337</v>
      </c>
      <c r="B384" s="9">
        <v>0</v>
      </c>
    </row>
    <row r="385" spans="1:3" x14ac:dyDescent="0.25">
      <c r="A385" s="6" t="s">
        <v>338</v>
      </c>
      <c r="B385" s="9">
        <v>0</v>
      </c>
    </row>
    <row r="386" spans="1:3" x14ac:dyDescent="0.25">
      <c r="A386" s="6" t="s">
        <v>339</v>
      </c>
      <c r="B386" s="9">
        <v>0</v>
      </c>
    </row>
    <row r="387" spans="1:3" x14ac:dyDescent="0.25">
      <c r="A387" s="6" t="s">
        <v>340</v>
      </c>
      <c r="B387" s="9">
        <v>0</v>
      </c>
    </row>
    <row r="388" spans="1:3" x14ac:dyDescent="0.25">
      <c r="A388" s="6" t="s">
        <v>341</v>
      </c>
      <c r="B388" s="9">
        <v>0</v>
      </c>
    </row>
    <row r="389" spans="1:3" x14ac:dyDescent="0.25">
      <c r="A389" s="6" t="s">
        <v>342</v>
      </c>
      <c r="B389" s="9">
        <f>SUM(B390:B395)</f>
        <v>0</v>
      </c>
    </row>
    <row r="390" spans="1:3" x14ac:dyDescent="0.25">
      <c r="A390" s="6" t="s">
        <v>343</v>
      </c>
      <c r="B390" s="9">
        <v>0</v>
      </c>
    </row>
    <row r="391" spans="1:3" x14ac:dyDescent="0.25">
      <c r="A391" s="6" t="s">
        <v>344</v>
      </c>
      <c r="B391" s="9">
        <v>0</v>
      </c>
    </row>
    <row r="392" spans="1:3" x14ac:dyDescent="0.25">
      <c r="A392" s="6" t="s">
        <v>345</v>
      </c>
      <c r="B392" s="9">
        <v>0</v>
      </c>
    </row>
    <row r="393" spans="1:3" x14ac:dyDescent="0.25">
      <c r="A393" s="6" t="s">
        <v>346</v>
      </c>
      <c r="B393" s="9">
        <v>0</v>
      </c>
    </row>
    <row r="394" spans="1:3" x14ac:dyDescent="0.25">
      <c r="A394" s="6" t="s">
        <v>1477</v>
      </c>
      <c r="B394" s="9">
        <v>0</v>
      </c>
    </row>
    <row r="395" spans="1:3" x14ac:dyDescent="0.25">
      <c r="A395" s="6" t="s">
        <v>1478</v>
      </c>
      <c r="B395" s="9">
        <v>0</v>
      </c>
    </row>
    <row r="396" spans="1:3" x14ac:dyDescent="0.25">
      <c r="A396" s="6" t="s">
        <v>347</v>
      </c>
      <c r="B396" s="9">
        <v>0</v>
      </c>
    </row>
    <row r="397" spans="1:3" x14ac:dyDescent="0.25">
      <c r="A397" s="6" t="s">
        <v>348</v>
      </c>
      <c r="B397" s="9">
        <v>0</v>
      </c>
    </row>
    <row r="398" spans="1:3" x14ac:dyDescent="0.25">
      <c r="A398" s="6" t="s">
        <v>349</v>
      </c>
      <c r="B398" s="9">
        <v>0</v>
      </c>
      <c r="C398" s="11">
        <v>1</v>
      </c>
    </row>
    <row r="399" spans="1:3" x14ac:dyDescent="0.25">
      <c r="A399" s="6" t="s">
        <v>350</v>
      </c>
      <c r="B399" s="9">
        <v>0</v>
      </c>
    </row>
    <row r="400" spans="1:3" x14ac:dyDescent="0.25">
      <c r="A400" s="6" t="s">
        <v>351</v>
      </c>
      <c r="B400" s="9">
        <v>0</v>
      </c>
    </row>
    <row r="401" spans="1:3" x14ac:dyDescent="0.25">
      <c r="A401" s="6" t="s">
        <v>352</v>
      </c>
      <c r="B401" s="9">
        <v>0</v>
      </c>
    </row>
    <row r="402" spans="1:3" x14ac:dyDescent="0.25">
      <c r="A402" s="6" t="s">
        <v>353</v>
      </c>
      <c r="B402" s="9">
        <v>0</v>
      </c>
    </row>
    <row r="403" spans="1:3" x14ac:dyDescent="0.25">
      <c r="A403" s="6" t="s">
        <v>354</v>
      </c>
      <c r="B403" s="9">
        <v>0</v>
      </c>
    </row>
    <row r="404" spans="1:3" x14ac:dyDescent="0.25">
      <c r="A404" s="6" t="s">
        <v>355</v>
      </c>
      <c r="B404" s="9">
        <v>0</v>
      </c>
    </row>
    <row r="405" spans="1:3" x14ac:dyDescent="0.25">
      <c r="A405" s="6" t="s">
        <v>356</v>
      </c>
      <c r="B405" s="9">
        <v>0</v>
      </c>
    </row>
    <row r="406" spans="1:3" x14ac:dyDescent="0.25">
      <c r="A406" s="6" t="s">
        <v>357</v>
      </c>
      <c r="B406" s="9">
        <v>0</v>
      </c>
    </row>
    <row r="407" spans="1:3" x14ac:dyDescent="0.25">
      <c r="A407" s="6" t="s">
        <v>252</v>
      </c>
      <c r="B407" s="9">
        <v>0</v>
      </c>
    </row>
    <row r="408" spans="1:3" x14ac:dyDescent="0.25">
      <c r="A408" s="6" t="s">
        <v>253</v>
      </c>
      <c r="B408" s="9">
        <v>0</v>
      </c>
    </row>
    <row r="409" spans="1:3" x14ac:dyDescent="0.25">
      <c r="A409" s="6" t="s">
        <v>358</v>
      </c>
      <c r="B409" s="9">
        <v>0</v>
      </c>
    </row>
    <row r="410" spans="1:3" x14ac:dyDescent="0.25">
      <c r="A410" s="6" t="s">
        <v>359</v>
      </c>
      <c r="B410" s="9">
        <v>0</v>
      </c>
      <c r="C410" s="11">
        <v>1</v>
      </c>
    </row>
    <row r="411" spans="1:3" x14ac:dyDescent="0.25">
      <c r="A411" s="6" t="s">
        <v>360</v>
      </c>
      <c r="B411" s="39">
        <v>0</v>
      </c>
    </row>
    <row r="412" spans="1:3" x14ac:dyDescent="0.25">
      <c r="A412" s="38" t="s">
        <v>361</v>
      </c>
      <c r="B412" s="41">
        <v>0</v>
      </c>
    </row>
    <row r="413" spans="1:3" x14ac:dyDescent="0.25">
      <c r="A413" s="38" t="s">
        <v>1479</v>
      </c>
      <c r="B413" s="41">
        <v>0</v>
      </c>
    </row>
    <row r="414" spans="1:3" x14ac:dyDescent="0.25">
      <c r="A414" s="38" t="s">
        <v>1480</v>
      </c>
      <c r="B414" s="42">
        <v>0</v>
      </c>
      <c r="C414" s="11">
        <v>1</v>
      </c>
    </row>
    <row r="415" spans="1:3" x14ac:dyDescent="0.25">
      <c r="A415" s="38" t="s">
        <v>362</v>
      </c>
      <c r="B415" s="41">
        <v>0</v>
      </c>
    </row>
    <row r="416" spans="1:3" x14ac:dyDescent="0.25">
      <c r="A416" s="6" t="s">
        <v>363</v>
      </c>
      <c r="B416" s="40">
        <v>0</v>
      </c>
    </row>
    <row r="417" spans="1:3" x14ac:dyDescent="0.25">
      <c r="A417" s="6" t="s">
        <v>210</v>
      </c>
      <c r="B417" s="9">
        <v>0</v>
      </c>
    </row>
    <row r="418" spans="1:3" x14ac:dyDescent="0.25">
      <c r="A418" s="6" t="s">
        <v>1481</v>
      </c>
      <c r="B418" s="9">
        <f>SUM(B419:B421)</f>
        <v>0</v>
      </c>
    </row>
    <row r="419" spans="1:3" x14ac:dyDescent="0.25">
      <c r="A419" s="6" t="s">
        <v>1482</v>
      </c>
      <c r="B419" s="9">
        <v>0</v>
      </c>
    </row>
    <row r="420" spans="1:3" x14ac:dyDescent="0.25">
      <c r="A420" s="6" t="s">
        <v>1483</v>
      </c>
      <c r="B420" s="9">
        <v>0</v>
      </c>
    </row>
    <row r="421" spans="1:3" x14ac:dyDescent="0.25">
      <c r="A421" s="6" t="s">
        <v>739</v>
      </c>
      <c r="B421" s="9">
        <v>0</v>
      </c>
    </row>
    <row r="422" spans="1:3" x14ac:dyDescent="0.25">
      <c r="A422" s="6" t="s">
        <v>364</v>
      </c>
      <c r="B422" s="7">
        <f>B423+B462+B434+B441</f>
        <v>0</v>
      </c>
      <c r="C422" s="8"/>
    </row>
    <row r="423" spans="1:3" x14ac:dyDescent="0.25">
      <c r="A423" s="6" t="s">
        <v>365</v>
      </c>
      <c r="B423" s="9">
        <f>B424</f>
        <v>0</v>
      </c>
    </row>
    <row r="424" spans="1:3" x14ac:dyDescent="0.25">
      <c r="A424" s="6" t="s">
        <v>366</v>
      </c>
      <c r="B424" s="9">
        <v>0</v>
      </c>
      <c r="C424" s="11">
        <v>1</v>
      </c>
    </row>
    <row r="425" spans="1:3" x14ac:dyDescent="0.25">
      <c r="A425" s="6" t="s">
        <v>367</v>
      </c>
      <c r="B425" s="9">
        <v>0</v>
      </c>
    </row>
    <row r="426" spans="1:3" x14ac:dyDescent="0.25">
      <c r="A426" s="6" t="s">
        <v>368</v>
      </c>
      <c r="B426" s="9">
        <v>0</v>
      </c>
    </row>
    <row r="427" spans="1:3" x14ac:dyDescent="0.25">
      <c r="A427" s="6" t="s">
        <v>369</v>
      </c>
      <c r="B427" s="9">
        <v>0</v>
      </c>
    </row>
    <row r="428" spans="1:3" x14ac:dyDescent="0.25">
      <c r="A428" s="6" t="s">
        <v>110</v>
      </c>
      <c r="B428" s="9">
        <v>0</v>
      </c>
    </row>
    <row r="429" spans="1:3" x14ac:dyDescent="0.25">
      <c r="A429" s="6" t="s">
        <v>370</v>
      </c>
      <c r="B429" s="9">
        <v>0</v>
      </c>
    </row>
    <row r="430" spans="1:3" x14ac:dyDescent="0.25">
      <c r="A430" s="6" t="s">
        <v>371</v>
      </c>
      <c r="B430" s="9">
        <v>0</v>
      </c>
    </row>
    <row r="431" spans="1:3" x14ac:dyDescent="0.25">
      <c r="A431" s="6" t="s">
        <v>372</v>
      </c>
      <c r="B431" s="9">
        <v>0</v>
      </c>
    </row>
    <row r="432" spans="1:3" x14ac:dyDescent="0.25">
      <c r="A432" s="6" t="s">
        <v>373</v>
      </c>
      <c r="B432" s="9">
        <v>0</v>
      </c>
    </row>
    <row r="433" spans="1:3" x14ac:dyDescent="0.25">
      <c r="A433" s="6" t="s">
        <v>374</v>
      </c>
      <c r="B433" s="9">
        <v>0</v>
      </c>
    </row>
    <row r="434" spans="1:3" x14ac:dyDescent="0.25">
      <c r="A434" s="6" t="s">
        <v>375</v>
      </c>
      <c r="B434" s="9">
        <f>B435+B436+B437+B438+B439+B440</f>
        <v>0</v>
      </c>
    </row>
    <row r="435" spans="1:3" x14ac:dyDescent="0.25">
      <c r="A435" s="6" t="s">
        <v>376</v>
      </c>
      <c r="B435" s="9">
        <v>0</v>
      </c>
      <c r="C435" s="11">
        <v>1</v>
      </c>
    </row>
    <row r="436" spans="1:3" x14ac:dyDescent="0.25">
      <c r="A436" s="6" t="s">
        <v>377</v>
      </c>
      <c r="B436" s="9">
        <v>0</v>
      </c>
    </row>
    <row r="437" spans="1:3" x14ac:dyDescent="0.25">
      <c r="A437" s="6" t="s">
        <v>378</v>
      </c>
      <c r="B437" s="9">
        <v>0</v>
      </c>
    </row>
    <row r="438" spans="1:3" x14ac:dyDescent="0.25">
      <c r="A438" s="6" t="s">
        <v>379</v>
      </c>
      <c r="B438" s="9">
        <v>0</v>
      </c>
    </row>
    <row r="439" spans="1:3" x14ac:dyDescent="0.25">
      <c r="A439" s="6" t="s">
        <v>380</v>
      </c>
      <c r="B439" s="9">
        <v>0</v>
      </c>
    </row>
    <row r="440" spans="1:3" x14ac:dyDescent="0.25">
      <c r="A440" s="6" t="s">
        <v>381</v>
      </c>
      <c r="B440" s="9">
        <v>0</v>
      </c>
    </row>
    <row r="441" spans="1:3" x14ac:dyDescent="0.25">
      <c r="A441" s="6" t="s">
        <v>382</v>
      </c>
      <c r="B441" s="9">
        <f>B442</f>
        <v>0</v>
      </c>
    </row>
    <row r="442" spans="1:3" x14ac:dyDescent="0.25">
      <c r="A442" s="6" t="s">
        <v>383</v>
      </c>
      <c r="B442" s="9">
        <f>B443+B444+B445+B446+B447+B448+B449+B453+B454</f>
        <v>0</v>
      </c>
    </row>
    <row r="443" spans="1:3" x14ac:dyDescent="0.25">
      <c r="A443" s="6" t="s">
        <v>80</v>
      </c>
      <c r="B443" s="9">
        <v>0</v>
      </c>
      <c r="C443" s="11">
        <v>1</v>
      </c>
    </row>
    <row r="444" spans="1:3" x14ac:dyDescent="0.25">
      <c r="A444" s="6" t="s">
        <v>95</v>
      </c>
      <c r="B444" s="9">
        <v>0</v>
      </c>
    </row>
    <row r="445" spans="1:3" x14ac:dyDescent="0.25">
      <c r="A445" s="6" t="s">
        <v>82</v>
      </c>
      <c r="B445" s="9">
        <v>0</v>
      </c>
    </row>
    <row r="446" spans="1:3" x14ac:dyDescent="0.25">
      <c r="A446" s="6" t="s">
        <v>83</v>
      </c>
      <c r="B446" s="9">
        <v>0</v>
      </c>
    </row>
    <row r="447" spans="1:3" x14ac:dyDescent="0.25">
      <c r="A447" s="6" t="s">
        <v>84</v>
      </c>
      <c r="B447" s="9">
        <v>0</v>
      </c>
    </row>
    <row r="448" spans="1:3" x14ac:dyDescent="0.25">
      <c r="A448" s="6" t="s">
        <v>85</v>
      </c>
      <c r="B448" s="9">
        <v>0</v>
      </c>
    </row>
    <row r="449" spans="1:3" x14ac:dyDescent="0.25">
      <c r="A449" s="6" t="s">
        <v>384</v>
      </c>
      <c r="B449" s="9">
        <f>SUM(B450:B452)</f>
        <v>0</v>
      </c>
    </row>
    <row r="450" spans="1:3" x14ac:dyDescent="0.25">
      <c r="A450" s="6" t="s">
        <v>90</v>
      </c>
      <c r="B450" s="9">
        <v>0</v>
      </c>
    </row>
    <row r="451" spans="1:3" x14ac:dyDescent="0.25">
      <c r="A451" s="6" t="s">
        <v>91</v>
      </c>
      <c r="B451" s="9">
        <v>0</v>
      </c>
    </row>
    <row r="452" spans="1:3" x14ac:dyDescent="0.25">
      <c r="A452" s="6" t="s">
        <v>92</v>
      </c>
      <c r="B452" s="9">
        <v>0</v>
      </c>
    </row>
    <row r="453" spans="1:3" x14ac:dyDescent="0.25">
      <c r="A453" s="6" t="s">
        <v>385</v>
      </c>
      <c r="B453" s="9">
        <v>0</v>
      </c>
    </row>
    <row r="454" spans="1:3" x14ac:dyDescent="0.25">
      <c r="A454" s="6" t="s">
        <v>93</v>
      </c>
      <c r="B454" s="9">
        <v>0</v>
      </c>
    </row>
    <row r="455" spans="1:3" x14ac:dyDescent="0.25">
      <c r="A455" s="6" t="s">
        <v>386</v>
      </c>
      <c r="B455" s="9">
        <v>0</v>
      </c>
    </row>
    <row r="456" spans="1:3" x14ac:dyDescent="0.25">
      <c r="A456" s="6" t="s">
        <v>387</v>
      </c>
      <c r="B456" s="9">
        <v>0</v>
      </c>
    </row>
    <row r="457" spans="1:3" x14ac:dyDescent="0.25">
      <c r="A457" s="6" t="s">
        <v>388</v>
      </c>
      <c r="B457" s="9">
        <v>0</v>
      </c>
    </row>
    <row r="458" spans="1:3" x14ac:dyDescent="0.25">
      <c r="A458" s="6" t="s">
        <v>389</v>
      </c>
      <c r="B458" s="9">
        <v>0</v>
      </c>
    </row>
    <row r="459" spans="1:3" x14ac:dyDescent="0.25">
      <c r="A459" s="6" t="s">
        <v>390</v>
      </c>
      <c r="B459" s="9">
        <v>0</v>
      </c>
    </row>
    <row r="460" spans="1:3" x14ac:dyDescent="0.25">
      <c r="A460" s="6" t="s">
        <v>391</v>
      </c>
      <c r="B460" s="9">
        <v>0</v>
      </c>
    </row>
    <row r="461" spans="1:3" x14ac:dyDescent="0.25">
      <c r="A461" s="6" t="s">
        <v>392</v>
      </c>
      <c r="B461" s="9">
        <v>0</v>
      </c>
    </row>
    <row r="462" spans="1:3" x14ac:dyDescent="0.25">
      <c r="A462" s="6" t="s">
        <v>393</v>
      </c>
      <c r="B462" s="9">
        <f>SUM(B463:B470)</f>
        <v>0</v>
      </c>
    </row>
    <row r="463" spans="1:3" x14ac:dyDescent="0.25">
      <c r="A463" s="6" t="s">
        <v>394</v>
      </c>
      <c r="B463" s="9">
        <v>0</v>
      </c>
      <c r="C463" s="11">
        <v>1</v>
      </c>
    </row>
    <row r="464" spans="1:3" x14ac:dyDescent="0.25">
      <c r="A464" s="6" t="s">
        <v>395</v>
      </c>
      <c r="B464" s="9">
        <v>0</v>
      </c>
    </row>
    <row r="465" spans="1:3" x14ac:dyDescent="0.25">
      <c r="A465" s="6" t="s">
        <v>396</v>
      </c>
      <c r="B465" s="9">
        <v>0</v>
      </c>
    </row>
    <row r="466" spans="1:3" x14ac:dyDescent="0.25">
      <c r="A466" s="6" t="s">
        <v>397</v>
      </c>
      <c r="B466" s="9">
        <v>0</v>
      </c>
    </row>
    <row r="467" spans="1:3" x14ac:dyDescent="0.25">
      <c r="A467" s="6" t="s">
        <v>1484</v>
      </c>
      <c r="B467" s="9">
        <v>0</v>
      </c>
    </row>
    <row r="468" spans="1:3" x14ac:dyDescent="0.25">
      <c r="A468" s="6" t="s">
        <v>1485</v>
      </c>
      <c r="B468" s="9">
        <v>0</v>
      </c>
    </row>
    <row r="469" spans="1:3" x14ac:dyDescent="0.25">
      <c r="A469" s="6" t="s">
        <v>1486</v>
      </c>
      <c r="B469" s="9">
        <v>0</v>
      </c>
    </row>
    <row r="470" spans="1:3" x14ac:dyDescent="0.25">
      <c r="A470" s="6" t="s">
        <v>1487</v>
      </c>
      <c r="B470" s="9">
        <v>0</v>
      </c>
      <c r="C470" s="11">
        <v>1</v>
      </c>
    </row>
    <row r="471" spans="1:3" x14ac:dyDescent="0.25">
      <c r="A471" s="6" t="s">
        <v>398</v>
      </c>
      <c r="B471" s="9">
        <v>0</v>
      </c>
      <c r="C471" s="11">
        <v>1</v>
      </c>
    </row>
  </sheetData>
  <mergeCells count="5">
    <mergeCell ref="A3:B3"/>
    <mergeCell ref="A5:B5"/>
    <mergeCell ref="A7:B7"/>
    <mergeCell ref="A8:B8"/>
    <mergeCell ref="A9:B9"/>
  </mergeCells>
  <phoneticPr fontId="1" type="noConversion"/>
  <pageMargins left="0.5" right="0.5" top="0.4" bottom="0.4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1"/>
  <sheetViews>
    <sheetView topLeftCell="A9" workbookViewId="0">
      <selection activeCell="A5" sqref="A5:XFD9"/>
    </sheetView>
  </sheetViews>
  <sheetFormatPr defaultRowHeight="16.5" x14ac:dyDescent="0.25"/>
  <cols>
    <col min="1" max="1" width="34.625" style="1" bestFit="1" customWidth="1"/>
    <col min="2" max="2" width="25.375" style="1" customWidth="1"/>
    <col min="3" max="3" width="9" style="1"/>
    <col min="4" max="16384" width="9" style="26"/>
  </cols>
  <sheetData>
    <row r="1" spans="1:2" x14ac:dyDescent="0.25">
      <c r="A1" s="24" t="s">
        <v>1466</v>
      </c>
      <c r="B1" s="25"/>
    </row>
    <row r="2" spans="1:2" ht="17.25" thickBot="1" x14ac:dyDescent="0.3"/>
    <row r="3" spans="1:2" ht="18" thickTop="1" thickBot="1" x14ac:dyDescent="0.3">
      <c r="A3" s="45" t="s">
        <v>717</v>
      </c>
      <c r="B3" s="47"/>
    </row>
    <row r="4" spans="1:2" ht="17.25" thickTop="1" x14ac:dyDescent="0.25"/>
    <row r="5" spans="1:2" x14ac:dyDescent="0.25">
      <c r="A5" s="48"/>
      <c r="B5" s="50"/>
    </row>
    <row r="7" spans="1:2" x14ac:dyDescent="0.25">
      <c r="A7" s="51"/>
      <c r="B7" s="50"/>
    </row>
    <row r="8" spans="1:2" x14ac:dyDescent="0.25">
      <c r="A8" s="48"/>
      <c r="B8" s="50"/>
    </row>
    <row r="9" spans="1:2" x14ac:dyDescent="0.25">
      <c r="A9" s="51"/>
      <c r="B9" s="50"/>
    </row>
    <row r="11" spans="1:2" x14ac:dyDescent="0.25">
      <c r="A11" s="5" t="s">
        <v>1</v>
      </c>
      <c r="B11" s="5" t="s">
        <v>41</v>
      </c>
    </row>
    <row r="12" spans="1:2" x14ac:dyDescent="0.25">
      <c r="A12" s="6" t="s">
        <v>718</v>
      </c>
      <c r="B12" s="9">
        <v>0</v>
      </c>
    </row>
    <row r="13" spans="1:2" x14ac:dyDescent="0.25">
      <c r="A13" s="6" t="s">
        <v>719</v>
      </c>
      <c r="B13" s="9">
        <v>0</v>
      </c>
    </row>
    <row r="14" spans="1:2" x14ac:dyDescent="0.25">
      <c r="A14" s="6" t="s">
        <v>720</v>
      </c>
      <c r="B14" s="9">
        <v>0</v>
      </c>
    </row>
    <row r="15" spans="1:2" x14ac:dyDescent="0.25">
      <c r="A15" s="6" t="s">
        <v>721</v>
      </c>
      <c r="B15" s="9">
        <v>0</v>
      </c>
    </row>
    <row r="16" spans="1:2" x14ac:dyDescent="0.25">
      <c r="A16" s="6" t="s">
        <v>722</v>
      </c>
      <c r="B16" s="9">
        <v>0</v>
      </c>
    </row>
    <row r="17" spans="1:2" x14ac:dyDescent="0.25">
      <c r="A17" s="6" t="s">
        <v>723</v>
      </c>
      <c r="B17" s="9">
        <v>0</v>
      </c>
    </row>
    <row r="18" spans="1:2" x14ac:dyDescent="0.25">
      <c r="A18" s="6" t="s">
        <v>724</v>
      </c>
      <c r="B18" s="9">
        <v>0</v>
      </c>
    </row>
    <row r="19" spans="1:2" x14ac:dyDescent="0.25">
      <c r="A19" s="6" t="s">
        <v>725</v>
      </c>
      <c r="B19" s="9">
        <v>0</v>
      </c>
    </row>
    <row r="20" spans="1:2" x14ac:dyDescent="0.25">
      <c r="A20" s="6" t="s">
        <v>726</v>
      </c>
      <c r="B20" s="9">
        <v>0</v>
      </c>
    </row>
    <row r="21" spans="1:2" x14ac:dyDescent="0.25">
      <c r="A21" s="6" t="s">
        <v>727</v>
      </c>
      <c r="B21" s="9">
        <v>0</v>
      </c>
    </row>
    <row r="22" spans="1:2" x14ac:dyDescent="0.25">
      <c r="A22" s="6" t="s">
        <v>728</v>
      </c>
      <c r="B22" s="9">
        <v>0</v>
      </c>
    </row>
    <row r="23" spans="1:2" x14ac:dyDescent="0.25">
      <c r="A23" s="6" t="s">
        <v>729</v>
      </c>
      <c r="B23" s="9">
        <v>0</v>
      </c>
    </row>
    <row r="24" spans="1:2" x14ac:dyDescent="0.25">
      <c r="A24" s="6" t="s">
        <v>730</v>
      </c>
      <c r="B24" s="9">
        <v>0</v>
      </c>
    </row>
    <row r="25" spans="1:2" x14ac:dyDescent="0.25">
      <c r="A25" s="6" t="s">
        <v>731</v>
      </c>
      <c r="B25" s="9">
        <v>0</v>
      </c>
    </row>
    <row r="26" spans="1:2" x14ac:dyDescent="0.25">
      <c r="A26" s="6" t="s">
        <v>300</v>
      </c>
      <c r="B26" s="9">
        <v>0</v>
      </c>
    </row>
    <row r="27" spans="1:2" x14ac:dyDescent="0.25">
      <c r="A27" s="6" t="s">
        <v>732</v>
      </c>
      <c r="B27" s="9">
        <v>0</v>
      </c>
    </row>
    <row r="28" spans="1:2" x14ac:dyDescent="0.25">
      <c r="A28" s="6" t="s">
        <v>733</v>
      </c>
      <c r="B28" s="9">
        <v>0</v>
      </c>
    </row>
    <row r="29" spans="1:2" x14ac:dyDescent="0.25">
      <c r="A29" s="6" t="s">
        <v>734</v>
      </c>
      <c r="B29" s="9">
        <v>0</v>
      </c>
    </row>
    <row r="30" spans="1:2" x14ac:dyDescent="0.25">
      <c r="A30" s="6" t="s">
        <v>735</v>
      </c>
      <c r="B30" s="9">
        <v>0</v>
      </c>
    </row>
    <row r="31" spans="1:2" x14ac:dyDescent="0.25">
      <c r="A31" s="6" t="s">
        <v>736</v>
      </c>
      <c r="B31" s="9">
        <v>0</v>
      </c>
    </row>
    <row r="32" spans="1:2" x14ac:dyDescent="0.25">
      <c r="A32" s="6" t="s">
        <v>737</v>
      </c>
      <c r="B32" s="9">
        <v>0</v>
      </c>
    </row>
    <row r="33" spans="1:2" x14ac:dyDescent="0.25">
      <c r="A33" s="6" t="s">
        <v>738</v>
      </c>
      <c r="B33" s="9">
        <v>0</v>
      </c>
    </row>
    <row r="34" spans="1:2" x14ac:dyDescent="0.25">
      <c r="A34" s="6" t="s">
        <v>739</v>
      </c>
      <c r="B34" s="9">
        <v>0</v>
      </c>
    </row>
    <row r="35" spans="1:2" x14ac:dyDescent="0.25">
      <c r="A35" s="6" t="s">
        <v>740</v>
      </c>
      <c r="B35" s="9">
        <v>0</v>
      </c>
    </row>
    <row r="36" spans="1:2" x14ac:dyDescent="0.25">
      <c r="A36" s="6" t="s">
        <v>741</v>
      </c>
      <c r="B36" s="9">
        <v>0</v>
      </c>
    </row>
    <row r="37" spans="1:2" x14ac:dyDescent="0.25">
      <c r="A37" s="6" t="s">
        <v>742</v>
      </c>
      <c r="B37" s="9">
        <v>0</v>
      </c>
    </row>
    <row r="38" spans="1:2" x14ac:dyDescent="0.25">
      <c r="A38" s="6" t="s">
        <v>743</v>
      </c>
      <c r="B38" s="9">
        <v>0</v>
      </c>
    </row>
    <row r="39" spans="1:2" x14ac:dyDescent="0.25">
      <c r="A39" s="6" t="s">
        <v>744</v>
      </c>
      <c r="B39" s="9">
        <v>0</v>
      </c>
    </row>
    <row r="40" spans="1:2" x14ac:dyDescent="0.25">
      <c r="A40" s="6" t="s">
        <v>745</v>
      </c>
      <c r="B40" s="9">
        <v>0</v>
      </c>
    </row>
    <row r="41" spans="1:2" x14ac:dyDescent="0.25">
      <c r="A41" s="6" t="s">
        <v>746</v>
      </c>
      <c r="B41" s="9">
        <v>0</v>
      </c>
    </row>
    <row r="42" spans="1:2" x14ac:dyDescent="0.25">
      <c r="A42" s="6" t="s">
        <v>747</v>
      </c>
      <c r="B42" s="9">
        <v>0</v>
      </c>
    </row>
    <row r="43" spans="1:2" x14ac:dyDescent="0.25">
      <c r="A43" s="6" t="s">
        <v>748</v>
      </c>
      <c r="B43" s="9">
        <v>0</v>
      </c>
    </row>
    <row r="44" spans="1:2" x14ac:dyDescent="0.25">
      <c r="A44" s="6" t="s">
        <v>749</v>
      </c>
      <c r="B44" s="9">
        <v>0</v>
      </c>
    </row>
    <row r="45" spans="1:2" x14ac:dyDescent="0.25">
      <c r="A45" s="6" t="s">
        <v>750</v>
      </c>
      <c r="B45" s="9">
        <v>0</v>
      </c>
    </row>
    <row r="46" spans="1:2" x14ac:dyDescent="0.25">
      <c r="A46" s="6" t="s">
        <v>751</v>
      </c>
      <c r="B46" s="9">
        <v>0</v>
      </c>
    </row>
    <row r="47" spans="1:2" x14ac:dyDescent="0.25">
      <c r="A47" s="6" t="s">
        <v>752</v>
      </c>
      <c r="B47" s="9">
        <v>0</v>
      </c>
    </row>
    <row r="48" spans="1:2" x14ac:dyDescent="0.25">
      <c r="A48" s="6" t="s">
        <v>753</v>
      </c>
      <c r="B48" s="9">
        <v>0</v>
      </c>
    </row>
    <row r="49" spans="1:2" x14ac:dyDescent="0.25">
      <c r="A49" s="6" t="s">
        <v>754</v>
      </c>
      <c r="B49" s="9">
        <v>0</v>
      </c>
    </row>
    <row r="50" spans="1:2" x14ac:dyDescent="0.25">
      <c r="A50" s="6" t="s">
        <v>755</v>
      </c>
      <c r="B50" s="9">
        <v>0</v>
      </c>
    </row>
    <row r="51" spans="1:2" x14ac:dyDescent="0.25">
      <c r="A51" s="6" t="s">
        <v>756</v>
      </c>
      <c r="B51" s="9">
        <v>0</v>
      </c>
    </row>
    <row r="52" spans="1:2" x14ac:dyDescent="0.25">
      <c r="A52" s="6" t="s">
        <v>757</v>
      </c>
      <c r="B52" s="9">
        <v>0</v>
      </c>
    </row>
    <row r="53" spans="1:2" x14ac:dyDescent="0.25">
      <c r="A53" s="6" t="s">
        <v>758</v>
      </c>
      <c r="B53" s="9">
        <v>0</v>
      </c>
    </row>
    <row r="54" spans="1:2" x14ac:dyDescent="0.25">
      <c r="A54" s="6" t="s">
        <v>759</v>
      </c>
      <c r="B54" s="9">
        <v>0</v>
      </c>
    </row>
    <row r="55" spans="1:2" x14ac:dyDescent="0.25">
      <c r="A55" s="6" t="s">
        <v>760</v>
      </c>
      <c r="B55" s="9">
        <v>0</v>
      </c>
    </row>
    <row r="56" spans="1:2" x14ac:dyDescent="0.25">
      <c r="A56" s="6" t="s">
        <v>761</v>
      </c>
      <c r="B56" s="9">
        <v>0</v>
      </c>
    </row>
    <row r="57" spans="1:2" x14ac:dyDescent="0.25">
      <c r="A57" s="6" t="s">
        <v>148</v>
      </c>
      <c r="B57" s="9">
        <v>0</v>
      </c>
    </row>
    <row r="58" spans="1:2" x14ac:dyDescent="0.25">
      <c r="A58" s="6" t="s">
        <v>762</v>
      </c>
      <c r="B58" s="9">
        <v>0</v>
      </c>
    </row>
    <row r="59" spans="1:2" x14ac:dyDescent="0.25">
      <c r="A59" s="6" t="s">
        <v>763</v>
      </c>
      <c r="B59" s="9">
        <v>0</v>
      </c>
    </row>
    <row r="60" spans="1:2" x14ac:dyDescent="0.25">
      <c r="A60" s="6" t="s">
        <v>764</v>
      </c>
      <c r="B60" s="9">
        <v>0</v>
      </c>
    </row>
    <row r="61" spans="1:2" x14ac:dyDescent="0.25">
      <c r="A61" s="6" t="s">
        <v>765</v>
      </c>
      <c r="B61" s="9">
        <v>0</v>
      </c>
    </row>
    <row r="62" spans="1:2" x14ac:dyDescent="0.25">
      <c r="A62" s="6" t="s">
        <v>766</v>
      </c>
      <c r="B62" s="9">
        <v>0</v>
      </c>
    </row>
    <row r="63" spans="1:2" x14ac:dyDescent="0.25">
      <c r="A63" s="6" t="s">
        <v>742</v>
      </c>
      <c r="B63" s="9">
        <v>0</v>
      </c>
    </row>
    <row r="64" spans="1:2" x14ac:dyDescent="0.25">
      <c r="A64" s="6" t="s">
        <v>767</v>
      </c>
      <c r="B64" s="9">
        <v>0</v>
      </c>
    </row>
    <row r="65" spans="1:2" x14ac:dyDescent="0.25">
      <c r="A65" s="6" t="s">
        <v>768</v>
      </c>
      <c r="B65" s="9">
        <v>0</v>
      </c>
    </row>
    <row r="66" spans="1:2" x14ac:dyDescent="0.25">
      <c r="A66" s="6" t="s">
        <v>769</v>
      </c>
      <c r="B66" s="9">
        <v>0</v>
      </c>
    </row>
    <row r="67" spans="1:2" x14ac:dyDescent="0.25">
      <c r="A67" s="6" t="s">
        <v>745</v>
      </c>
      <c r="B67" s="9">
        <v>0</v>
      </c>
    </row>
    <row r="68" spans="1:2" x14ac:dyDescent="0.25">
      <c r="A68" s="6" t="s">
        <v>746</v>
      </c>
      <c r="B68" s="9">
        <v>0</v>
      </c>
    </row>
    <row r="69" spans="1:2" x14ac:dyDescent="0.25">
      <c r="A69" s="6" t="s">
        <v>747</v>
      </c>
      <c r="B69" s="9">
        <v>0</v>
      </c>
    </row>
    <row r="70" spans="1:2" x14ac:dyDescent="0.25">
      <c r="A70" s="6" t="s">
        <v>770</v>
      </c>
      <c r="B70" s="9">
        <v>0</v>
      </c>
    </row>
    <row r="71" spans="1:2" x14ac:dyDescent="0.25">
      <c r="A71" s="6" t="s">
        <v>771</v>
      </c>
      <c r="B71" s="9">
        <v>0</v>
      </c>
    </row>
    <row r="72" spans="1:2" x14ac:dyDescent="0.25">
      <c r="A72" s="6" t="s">
        <v>772</v>
      </c>
      <c r="B72" s="9">
        <v>0</v>
      </c>
    </row>
    <row r="73" spans="1:2" x14ac:dyDescent="0.25">
      <c r="A73" s="6" t="s">
        <v>750</v>
      </c>
      <c r="B73" s="9">
        <v>0</v>
      </c>
    </row>
    <row r="74" spans="1:2" x14ac:dyDescent="0.25">
      <c r="A74" s="6" t="s">
        <v>751</v>
      </c>
      <c r="B74" s="9">
        <v>0</v>
      </c>
    </row>
    <row r="75" spans="1:2" x14ac:dyDescent="0.25">
      <c r="A75" s="6" t="s">
        <v>752</v>
      </c>
      <c r="B75" s="9">
        <v>0</v>
      </c>
    </row>
    <row r="76" spans="1:2" x14ac:dyDescent="0.25">
      <c r="A76" s="6" t="s">
        <v>773</v>
      </c>
      <c r="B76" s="9">
        <v>0</v>
      </c>
    </row>
    <row r="77" spans="1:2" x14ac:dyDescent="0.25">
      <c r="A77" s="6" t="s">
        <v>774</v>
      </c>
      <c r="B77" s="9">
        <v>0</v>
      </c>
    </row>
    <row r="78" spans="1:2" x14ac:dyDescent="0.25">
      <c r="A78" s="6" t="s">
        <v>775</v>
      </c>
      <c r="B78" s="9">
        <v>0</v>
      </c>
    </row>
    <row r="79" spans="1:2" x14ac:dyDescent="0.25">
      <c r="A79" s="6" t="s">
        <v>755</v>
      </c>
      <c r="B79" s="9">
        <v>0</v>
      </c>
    </row>
    <row r="80" spans="1:2" x14ac:dyDescent="0.25">
      <c r="A80" s="6" t="s">
        <v>756</v>
      </c>
      <c r="B80" s="9">
        <v>0</v>
      </c>
    </row>
    <row r="81" spans="1:2" x14ac:dyDescent="0.25">
      <c r="A81" s="6" t="s">
        <v>776</v>
      </c>
      <c r="B81" s="9">
        <v>0</v>
      </c>
    </row>
    <row r="82" spans="1:2" x14ac:dyDescent="0.25">
      <c r="A82" s="6" t="s">
        <v>777</v>
      </c>
      <c r="B82" s="9">
        <v>0</v>
      </c>
    </row>
    <row r="83" spans="1:2" x14ac:dyDescent="0.25">
      <c r="A83" s="6" t="s">
        <v>778</v>
      </c>
      <c r="B83" s="9">
        <v>0</v>
      </c>
    </row>
    <row r="84" spans="1:2" x14ac:dyDescent="0.25">
      <c r="A84" s="6" t="s">
        <v>779</v>
      </c>
      <c r="B84" s="9">
        <v>0</v>
      </c>
    </row>
    <row r="85" spans="1:2" x14ac:dyDescent="0.25">
      <c r="A85" s="6" t="s">
        <v>780</v>
      </c>
      <c r="B85" s="9">
        <v>0</v>
      </c>
    </row>
    <row r="86" spans="1:2" x14ac:dyDescent="0.25">
      <c r="A86" s="6" t="s">
        <v>781</v>
      </c>
      <c r="B86" s="9">
        <v>0</v>
      </c>
    </row>
    <row r="87" spans="1:2" x14ac:dyDescent="0.25">
      <c r="A87" s="6" t="s">
        <v>782</v>
      </c>
      <c r="B87" s="9">
        <v>0</v>
      </c>
    </row>
    <row r="88" spans="1:2" x14ac:dyDescent="0.25">
      <c r="A88" s="6" t="s">
        <v>148</v>
      </c>
      <c r="B88" s="9">
        <v>0</v>
      </c>
    </row>
    <row r="89" spans="1:2" x14ac:dyDescent="0.25">
      <c r="A89" s="6" t="s">
        <v>783</v>
      </c>
      <c r="B89" s="9">
        <v>0</v>
      </c>
    </row>
    <row r="90" spans="1:2" x14ac:dyDescent="0.25">
      <c r="A90" s="6" t="s">
        <v>784</v>
      </c>
      <c r="B90" s="9">
        <v>0</v>
      </c>
    </row>
    <row r="91" spans="1:2" x14ac:dyDescent="0.25">
      <c r="A91" s="6" t="s">
        <v>785</v>
      </c>
      <c r="B91" s="9">
        <v>0</v>
      </c>
    </row>
    <row r="92" spans="1:2" x14ac:dyDescent="0.25">
      <c r="A92" s="6" t="s">
        <v>764</v>
      </c>
      <c r="B92" s="9">
        <v>0</v>
      </c>
    </row>
    <row r="93" spans="1:2" x14ac:dyDescent="0.25">
      <c r="A93" s="6" t="s">
        <v>765</v>
      </c>
      <c r="B93" s="9">
        <v>0</v>
      </c>
    </row>
    <row r="94" spans="1:2" x14ac:dyDescent="0.25">
      <c r="A94" s="6" t="s">
        <v>786</v>
      </c>
      <c r="B94" s="9">
        <v>0</v>
      </c>
    </row>
    <row r="95" spans="1:2" x14ac:dyDescent="0.25">
      <c r="A95" s="6" t="s">
        <v>787</v>
      </c>
      <c r="B95" s="9">
        <v>0</v>
      </c>
    </row>
    <row r="96" spans="1:2" x14ac:dyDescent="0.25">
      <c r="A96" s="6" t="s">
        <v>80</v>
      </c>
      <c r="B96" s="9">
        <v>0</v>
      </c>
    </row>
    <row r="97" spans="1:2" x14ac:dyDescent="0.25">
      <c r="A97" s="6" t="s">
        <v>788</v>
      </c>
      <c r="B97" s="9">
        <v>0</v>
      </c>
    </row>
    <row r="98" spans="1:2" x14ac:dyDescent="0.25">
      <c r="A98" s="6" t="s">
        <v>110</v>
      </c>
      <c r="B98" s="9">
        <v>0</v>
      </c>
    </row>
    <row r="99" spans="1:2" x14ac:dyDescent="0.25">
      <c r="A99" s="6" t="s">
        <v>789</v>
      </c>
      <c r="B99" s="9">
        <v>0</v>
      </c>
    </row>
    <row r="100" spans="1:2" x14ac:dyDescent="0.25">
      <c r="A100" s="6" t="s">
        <v>80</v>
      </c>
      <c r="B100" s="9">
        <v>0</v>
      </c>
    </row>
    <row r="101" spans="1:2" x14ac:dyDescent="0.25">
      <c r="A101" s="6" t="s">
        <v>788</v>
      </c>
      <c r="B101" s="9">
        <v>0</v>
      </c>
    </row>
    <row r="102" spans="1:2" x14ac:dyDescent="0.25">
      <c r="A102" s="6" t="s">
        <v>110</v>
      </c>
      <c r="B102" s="9">
        <v>0</v>
      </c>
    </row>
    <row r="103" spans="1:2" x14ac:dyDescent="0.25">
      <c r="A103" s="6" t="s">
        <v>790</v>
      </c>
      <c r="B103" s="9">
        <v>0</v>
      </c>
    </row>
    <row r="104" spans="1:2" x14ac:dyDescent="0.25">
      <c r="A104" s="6" t="s">
        <v>791</v>
      </c>
      <c r="B104" s="9">
        <v>0</v>
      </c>
    </row>
    <row r="105" spans="1:2" x14ac:dyDescent="0.25">
      <c r="A105" s="6" t="s">
        <v>792</v>
      </c>
      <c r="B105" s="9">
        <v>0</v>
      </c>
    </row>
    <row r="106" spans="1:2" x14ac:dyDescent="0.25">
      <c r="A106" s="6" t="s">
        <v>793</v>
      </c>
      <c r="B106" s="9">
        <v>0</v>
      </c>
    </row>
    <row r="107" spans="1:2" x14ac:dyDescent="0.25">
      <c r="A107" s="6" t="s">
        <v>794</v>
      </c>
      <c r="B107" s="9">
        <v>0</v>
      </c>
    </row>
    <row r="108" spans="1:2" x14ac:dyDescent="0.25">
      <c r="A108" s="6" t="s">
        <v>795</v>
      </c>
      <c r="B108" s="9">
        <v>0</v>
      </c>
    </row>
    <row r="109" spans="1:2" x14ac:dyDescent="0.25">
      <c r="A109" s="6" t="s">
        <v>796</v>
      </c>
      <c r="B109" s="9">
        <v>0</v>
      </c>
    </row>
    <row r="110" spans="1:2" x14ac:dyDescent="0.25">
      <c r="A110" s="6" t="s">
        <v>797</v>
      </c>
      <c r="B110" s="9">
        <v>0</v>
      </c>
    </row>
    <row r="111" spans="1:2" x14ac:dyDescent="0.25">
      <c r="A111" s="6" t="s">
        <v>798</v>
      </c>
      <c r="B111" s="9">
        <v>0</v>
      </c>
    </row>
  </sheetData>
  <mergeCells count="5">
    <mergeCell ref="A3:B3"/>
    <mergeCell ref="A5:B5"/>
    <mergeCell ref="A7:B7"/>
    <mergeCell ref="A8:B8"/>
    <mergeCell ref="A9:B9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workbookViewId="0">
      <selection activeCell="A5" sqref="A5:XFD9"/>
    </sheetView>
  </sheetViews>
  <sheetFormatPr defaultRowHeight="16.5" x14ac:dyDescent="0.25"/>
  <cols>
    <col min="1" max="1" width="21.5" style="1" bestFit="1" customWidth="1"/>
    <col min="2" max="2" width="25.375" style="1" customWidth="1"/>
    <col min="3" max="7" width="20" style="1" bestFit="1" customWidth="1"/>
    <col min="8" max="8" width="9" style="1"/>
    <col min="9" max="16384" width="9" style="26"/>
  </cols>
  <sheetData>
    <row r="1" spans="1:7" x14ac:dyDescent="0.25">
      <c r="A1" s="24" t="s">
        <v>1466</v>
      </c>
      <c r="B1" s="25"/>
      <c r="C1" s="25"/>
      <c r="D1" s="25"/>
      <c r="E1" s="25"/>
      <c r="F1" s="25"/>
      <c r="G1" s="25"/>
    </row>
    <row r="2" spans="1:7" ht="17.25" thickBot="1" x14ac:dyDescent="0.3"/>
    <row r="3" spans="1:7" ht="18" thickTop="1" thickBot="1" x14ac:dyDescent="0.3">
      <c r="A3" s="45" t="s">
        <v>799</v>
      </c>
      <c r="B3" s="46"/>
      <c r="C3" s="46"/>
      <c r="D3" s="46"/>
      <c r="E3" s="46"/>
      <c r="F3" s="46"/>
      <c r="G3" s="47"/>
    </row>
    <row r="4" spans="1:7" ht="17.25" thickTop="1" x14ac:dyDescent="0.25"/>
    <row r="5" spans="1:7" x14ac:dyDescent="0.25">
      <c r="A5" s="48"/>
      <c r="B5" s="49"/>
      <c r="C5" s="49"/>
      <c r="D5" s="49"/>
      <c r="E5" s="49"/>
      <c r="F5" s="49"/>
      <c r="G5" s="50"/>
    </row>
    <row r="7" spans="1:7" x14ac:dyDescent="0.25">
      <c r="A7" s="51"/>
      <c r="B7" s="49"/>
      <c r="C7" s="49"/>
      <c r="D7" s="49"/>
      <c r="E7" s="49"/>
      <c r="F7" s="49"/>
      <c r="G7" s="50"/>
    </row>
    <row r="8" spans="1:7" x14ac:dyDescent="0.25">
      <c r="A8" s="48"/>
      <c r="B8" s="49"/>
      <c r="C8" s="49"/>
      <c r="D8" s="49"/>
      <c r="E8" s="49"/>
      <c r="F8" s="49"/>
      <c r="G8" s="50"/>
    </row>
    <row r="9" spans="1:7" x14ac:dyDescent="0.25">
      <c r="A9" s="51"/>
      <c r="B9" s="49"/>
      <c r="C9" s="49"/>
      <c r="D9" s="49"/>
      <c r="E9" s="49"/>
      <c r="F9" s="49"/>
      <c r="G9" s="50"/>
    </row>
    <row r="11" spans="1:7" x14ac:dyDescent="0.25">
      <c r="A11" s="27"/>
      <c r="B11" s="5" t="s">
        <v>800</v>
      </c>
      <c r="C11" s="5" t="s">
        <v>801</v>
      </c>
      <c r="D11" s="5" t="s">
        <v>802</v>
      </c>
      <c r="E11" s="5" t="s">
        <v>803</v>
      </c>
      <c r="F11" s="5" t="s">
        <v>804</v>
      </c>
      <c r="G11" s="5" t="s">
        <v>4</v>
      </c>
    </row>
    <row r="12" spans="1:7" x14ac:dyDescent="0.25">
      <c r="A12" s="6" t="s">
        <v>805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x14ac:dyDescent="0.25">
      <c r="A13" s="6" t="s">
        <v>806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x14ac:dyDescent="0.25">
      <c r="A14" s="6" t="s">
        <v>807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</row>
    <row r="15" spans="1:7" x14ac:dyDescent="0.25">
      <c r="A15" s="6" t="s">
        <v>808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x14ac:dyDescent="0.25">
      <c r="A16" s="6" t="s">
        <v>809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</row>
    <row r="17" spans="1:7" x14ac:dyDescent="0.25">
      <c r="A17" s="6" t="s">
        <v>810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</row>
    <row r="18" spans="1:7" x14ac:dyDescent="0.25">
      <c r="A18" s="6" t="s">
        <v>811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</row>
    <row r="19" spans="1:7" x14ac:dyDescent="0.25">
      <c r="A19" s="6" t="s">
        <v>810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</row>
    <row r="20" spans="1:7" x14ac:dyDescent="0.25">
      <c r="A20" s="6" t="s">
        <v>812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x14ac:dyDescent="0.25">
      <c r="A21" s="6" t="s">
        <v>813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x14ac:dyDescent="0.25">
      <c r="A22" s="6" t="s">
        <v>814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x14ac:dyDescent="0.25">
      <c r="A23" s="6" t="s">
        <v>815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x14ac:dyDescent="0.25">
      <c r="A24" s="6" t="s">
        <v>816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x14ac:dyDescent="0.25">
      <c r="A25" s="6" t="s">
        <v>817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x14ac:dyDescent="0.25">
      <c r="A26" s="6" t="s">
        <v>810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x14ac:dyDescent="0.25">
      <c r="A27" s="6" t="s">
        <v>818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</row>
    <row r="28" spans="1:7" x14ac:dyDescent="0.25">
      <c r="A28" s="6" t="s">
        <v>819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x14ac:dyDescent="0.25">
      <c r="A29" s="6" t="s">
        <v>820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x14ac:dyDescent="0.25">
      <c r="A30" s="6" t="s">
        <v>821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</row>
    <row r="31" spans="1:7" x14ac:dyDescent="0.25">
      <c r="A31" s="6" t="s">
        <v>822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</row>
    <row r="32" spans="1:7" x14ac:dyDescent="0.25">
      <c r="A32" s="6" t="s">
        <v>823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x14ac:dyDescent="0.25">
      <c r="A33" s="6" t="s">
        <v>810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</row>
    <row r="34" spans="1:7" x14ac:dyDescent="0.25">
      <c r="A34" s="6" t="s">
        <v>824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</row>
    <row r="35" spans="1:7" x14ac:dyDescent="0.25">
      <c r="A35" s="6" t="s">
        <v>825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</row>
    <row r="36" spans="1:7" x14ac:dyDescent="0.25">
      <c r="A36" s="6" t="s">
        <v>826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</row>
    <row r="37" spans="1:7" x14ac:dyDescent="0.25">
      <c r="A37" s="6" t="s">
        <v>12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</row>
    <row r="38" spans="1:7" x14ac:dyDescent="0.25">
      <c r="A38" s="6" t="s">
        <v>15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</row>
    <row r="39" spans="1:7" x14ac:dyDescent="0.25">
      <c r="A39" s="6" t="s">
        <v>827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</sheetData>
  <mergeCells count="5">
    <mergeCell ref="A3:G3"/>
    <mergeCell ref="A5:G5"/>
    <mergeCell ref="A7:G7"/>
    <mergeCell ref="A8:G8"/>
    <mergeCell ref="A9:G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257"/>
  <sheetViews>
    <sheetView topLeftCell="A141" zoomScale="85" zoomScaleNormal="85" workbookViewId="0">
      <pane xSplit="2" topLeftCell="C1" activePane="topRight" state="frozen"/>
      <selection activeCell="A7" sqref="A7"/>
      <selection pane="topRight" activeCell="A179" sqref="A179"/>
    </sheetView>
  </sheetViews>
  <sheetFormatPr defaultRowHeight="13.5" x14ac:dyDescent="0.25"/>
  <cols>
    <col min="1" max="1" width="12" style="1" customWidth="1"/>
    <col min="2" max="2" width="25.375" style="1" customWidth="1"/>
    <col min="3" max="3" width="28.375" style="1" customWidth="1"/>
    <col min="4" max="4" width="35.5" style="1" bestFit="1" customWidth="1"/>
    <col min="5" max="5" width="26.75" style="1" customWidth="1"/>
    <col min="6" max="6" width="20.5" style="1" bestFit="1" customWidth="1"/>
    <col min="7" max="7" width="16.5" style="1" customWidth="1"/>
    <col min="8" max="8" width="12.375" style="1" customWidth="1"/>
    <col min="9" max="9" width="25.125" style="1" bestFit="1" customWidth="1"/>
    <col min="10" max="10" width="11.875" style="1" bestFit="1" customWidth="1"/>
    <col min="11" max="16384" width="9" style="1"/>
  </cols>
  <sheetData>
    <row r="2" spans="1:10" ht="14.25" thickBot="1" x14ac:dyDescent="0.3"/>
    <row r="3" spans="1:10" ht="24.95" customHeight="1" thickTop="1" thickBot="1" x14ac:dyDescent="0.3">
      <c r="A3" s="45" t="s">
        <v>1205</v>
      </c>
      <c r="B3" s="46"/>
      <c r="C3" s="46"/>
      <c r="D3" s="46"/>
      <c r="E3" s="46"/>
      <c r="F3" s="46"/>
      <c r="G3" s="46"/>
      <c r="H3" s="46"/>
      <c r="I3" s="46"/>
      <c r="J3" s="47"/>
    </row>
    <row r="4" spans="1:10" ht="14.25" thickTop="1" x14ac:dyDescent="0.25"/>
    <row r="5" spans="1:10" x14ac:dyDescent="0.25">
      <c r="A5" s="48"/>
      <c r="B5" s="49"/>
      <c r="C5" s="49"/>
      <c r="D5" s="49"/>
      <c r="E5" s="49"/>
      <c r="F5" s="49"/>
      <c r="G5" s="49"/>
      <c r="H5" s="49"/>
      <c r="I5" s="49"/>
      <c r="J5" s="50"/>
    </row>
    <row r="7" spans="1:10" x14ac:dyDescent="0.25">
      <c r="A7" s="51"/>
      <c r="B7" s="49"/>
      <c r="C7" s="49"/>
      <c r="D7" s="49"/>
      <c r="E7" s="49"/>
      <c r="F7" s="49"/>
      <c r="G7" s="49"/>
      <c r="H7" s="49"/>
      <c r="I7" s="49"/>
      <c r="J7" s="50"/>
    </row>
    <row r="8" spans="1:10" x14ac:dyDescent="0.25">
      <c r="A8" s="48"/>
      <c r="B8" s="49"/>
      <c r="C8" s="49"/>
      <c r="D8" s="49"/>
      <c r="E8" s="49"/>
      <c r="F8" s="49"/>
      <c r="G8" s="49"/>
      <c r="H8" s="49"/>
      <c r="I8" s="49"/>
      <c r="J8" s="50"/>
    </row>
    <row r="9" spans="1:10" x14ac:dyDescent="0.25">
      <c r="A9" s="51"/>
      <c r="B9" s="49"/>
      <c r="C9" s="49"/>
      <c r="D9" s="49"/>
      <c r="E9" s="49"/>
      <c r="F9" s="49"/>
      <c r="G9" s="49"/>
      <c r="H9" s="49"/>
      <c r="I9" s="49"/>
      <c r="J9" s="50"/>
    </row>
    <row r="11" spans="1:10" x14ac:dyDescent="0.25">
      <c r="A11" s="13"/>
      <c r="B11" s="13"/>
      <c r="C11" s="13" t="s">
        <v>1053</v>
      </c>
      <c r="D11" s="13" t="s">
        <v>1054</v>
      </c>
      <c r="E11" s="13" t="s">
        <v>1045</v>
      </c>
      <c r="F11" s="13" t="s">
        <v>1206</v>
      </c>
      <c r="G11" s="13" t="s">
        <v>1207</v>
      </c>
      <c r="H11" s="13" t="s">
        <v>1208</v>
      </c>
      <c r="I11" s="13" t="s">
        <v>1209</v>
      </c>
      <c r="J11" s="13" t="s">
        <v>1210</v>
      </c>
    </row>
    <row r="12" spans="1:10" x14ac:dyDescent="0.25">
      <c r="A12" s="13"/>
      <c r="B12" s="65" t="s">
        <v>1059</v>
      </c>
      <c r="C12" s="52" t="s">
        <v>828</v>
      </c>
      <c r="D12" s="53"/>
      <c r="E12" s="53"/>
      <c r="F12" s="53"/>
      <c r="G12" s="54"/>
      <c r="H12" s="65" t="s">
        <v>12</v>
      </c>
      <c r="I12" s="65" t="s">
        <v>829</v>
      </c>
      <c r="J12" s="65" t="s">
        <v>4</v>
      </c>
    </row>
    <row r="13" spans="1:10" x14ac:dyDescent="0.25">
      <c r="A13" s="13"/>
      <c r="B13" s="66"/>
      <c r="C13" s="14" t="s">
        <v>1211</v>
      </c>
      <c r="D13" s="14" t="s">
        <v>1212</v>
      </c>
      <c r="E13" s="14" t="s">
        <v>1213</v>
      </c>
      <c r="F13" s="14" t="s">
        <v>1214</v>
      </c>
      <c r="G13" s="14" t="s">
        <v>830</v>
      </c>
      <c r="H13" s="66"/>
      <c r="I13" s="66"/>
      <c r="J13" s="66"/>
    </row>
    <row r="14" spans="1:10" x14ac:dyDescent="0.25">
      <c r="A14" s="13" t="s">
        <v>1215</v>
      </c>
      <c r="B14" s="20" t="s">
        <v>42</v>
      </c>
      <c r="C14" s="9">
        <f>C15+C41+C65+C74+C114+C128+C134+C138</f>
        <v>0</v>
      </c>
      <c r="D14" s="9">
        <v>0</v>
      </c>
      <c r="E14" s="9">
        <f>E15+E41+E65+E74+E114+E128+E134+E138</f>
        <v>0</v>
      </c>
      <c r="F14" s="9">
        <v>0</v>
      </c>
      <c r="G14" s="9">
        <v>0</v>
      </c>
      <c r="H14" s="9">
        <f>H15+H41+H65+H74+H114+H128+H134+H138</f>
        <v>0</v>
      </c>
      <c r="I14" s="9">
        <v>0</v>
      </c>
      <c r="J14" s="7">
        <f>SUM(C14:I14)</f>
        <v>0</v>
      </c>
    </row>
    <row r="15" spans="1:10" x14ac:dyDescent="0.25">
      <c r="A15" s="13" t="s">
        <v>1216</v>
      </c>
      <c r="B15" s="20" t="s">
        <v>831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f>H16+H27</f>
        <v>0</v>
      </c>
      <c r="I15" s="9">
        <v>0</v>
      </c>
      <c r="J15" s="9">
        <f t="shared" ref="J15:J78" si="0">SUM(C15:I15)</f>
        <v>0</v>
      </c>
    </row>
    <row r="16" spans="1:10" x14ac:dyDescent="0.25">
      <c r="A16" s="13" t="s">
        <v>1217</v>
      </c>
      <c r="B16" s="20" t="s">
        <v>832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f>SUM(H17:H26)</f>
        <v>0</v>
      </c>
      <c r="I16" s="9">
        <v>0</v>
      </c>
      <c r="J16" s="9">
        <f t="shared" si="0"/>
        <v>0</v>
      </c>
    </row>
    <row r="17" spans="1:10" x14ac:dyDescent="0.25">
      <c r="A17" s="13" t="s">
        <v>1218</v>
      </c>
      <c r="B17" s="20" t="s">
        <v>833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f>'GA023(재무)'!B15</f>
        <v>0</v>
      </c>
      <c r="I17" s="9">
        <v>0</v>
      </c>
      <c r="J17" s="9">
        <f t="shared" si="0"/>
        <v>0</v>
      </c>
    </row>
    <row r="18" spans="1:10" x14ac:dyDescent="0.25">
      <c r="A18" s="13" t="s">
        <v>1219</v>
      </c>
      <c r="B18" s="20" t="s">
        <v>834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f t="shared" si="0"/>
        <v>0</v>
      </c>
    </row>
    <row r="19" spans="1:10" x14ac:dyDescent="0.25">
      <c r="A19" s="13" t="s">
        <v>1220</v>
      </c>
      <c r="B19" s="20" t="s">
        <v>835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f>'GA023(재무)'!B17</f>
        <v>0</v>
      </c>
      <c r="I19" s="9">
        <v>0</v>
      </c>
      <c r="J19" s="9">
        <f t="shared" si="0"/>
        <v>0</v>
      </c>
    </row>
    <row r="20" spans="1:10" x14ac:dyDescent="0.25">
      <c r="A20" s="13" t="s">
        <v>1221</v>
      </c>
      <c r="B20" s="20" t="s">
        <v>836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f t="shared" si="0"/>
        <v>0</v>
      </c>
    </row>
    <row r="21" spans="1:10" x14ac:dyDescent="0.25">
      <c r="A21" s="13" t="s">
        <v>1222</v>
      </c>
      <c r="B21" s="20" t="s">
        <v>837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f t="shared" si="0"/>
        <v>0</v>
      </c>
    </row>
    <row r="22" spans="1:10" x14ac:dyDescent="0.25">
      <c r="A22" s="13" t="s">
        <v>1223</v>
      </c>
      <c r="B22" s="20" t="s">
        <v>838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f t="shared" si="0"/>
        <v>0</v>
      </c>
    </row>
    <row r="23" spans="1:10" x14ac:dyDescent="0.25">
      <c r="A23" s="13" t="s">
        <v>1224</v>
      </c>
      <c r="B23" s="20" t="s">
        <v>839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f t="shared" si="0"/>
        <v>0</v>
      </c>
    </row>
    <row r="24" spans="1:10" x14ac:dyDescent="0.25">
      <c r="A24" s="13" t="s">
        <v>1225</v>
      </c>
      <c r="B24" s="20" t="s">
        <v>840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f>'GA023(재무)'!B22</f>
        <v>0</v>
      </c>
      <c r="I24" s="9">
        <v>0</v>
      </c>
      <c r="J24" s="9">
        <f t="shared" si="0"/>
        <v>0</v>
      </c>
    </row>
    <row r="25" spans="1:10" x14ac:dyDescent="0.25">
      <c r="A25" s="13" t="s">
        <v>1226</v>
      </c>
      <c r="B25" s="20" t="s">
        <v>841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f t="shared" si="0"/>
        <v>0</v>
      </c>
    </row>
    <row r="26" spans="1:10" x14ac:dyDescent="0.25">
      <c r="A26" s="13" t="s">
        <v>1227</v>
      </c>
      <c r="B26" s="20" t="s">
        <v>842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f>'GA023(재무)'!B24</f>
        <v>0</v>
      </c>
      <c r="I26" s="9">
        <v>0</v>
      </c>
      <c r="J26" s="9">
        <f t="shared" si="0"/>
        <v>0</v>
      </c>
    </row>
    <row r="27" spans="1:10" x14ac:dyDescent="0.25">
      <c r="A27" s="13" t="s">
        <v>1228</v>
      </c>
      <c r="B27" s="20" t="s">
        <v>843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f>SUM(H28:H40)</f>
        <v>0</v>
      </c>
      <c r="I27" s="9">
        <v>0</v>
      </c>
      <c r="J27" s="9">
        <f t="shared" si="0"/>
        <v>0</v>
      </c>
    </row>
    <row r="28" spans="1:10" x14ac:dyDescent="0.25">
      <c r="A28" s="13" t="s">
        <v>1229</v>
      </c>
      <c r="B28" s="20" t="s">
        <v>844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f>'GA023(재무)'!B26</f>
        <v>0</v>
      </c>
      <c r="I28" s="9">
        <v>0</v>
      </c>
      <c r="J28" s="9">
        <f t="shared" si="0"/>
        <v>0</v>
      </c>
    </row>
    <row r="29" spans="1:10" x14ac:dyDescent="0.25">
      <c r="A29" s="13" t="s">
        <v>1230</v>
      </c>
      <c r="B29" s="20" t="s">
        <v>845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f t="shared" si="0"/>
        <v>0</v>
      </c>
    </row>
    <row r="30" spans="1:10" x14ac:dyDescent="0.25">
      <c r="A30" s="13" t="s">
        <v>1231</v>
      </c>
      <c r="B30" s="20" t="s">
        <v>846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f t="shared" si="0"/>
        <v>0</v>
      </c>
    </row>
    <row r="31" spans="1:10" x14ac:dyDescent="0.25">
      <c r="A31" s="13" t="s">
        <v>1232</v>
      </c>
      <c r="B31" s="20" t="s">
        <v>847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f t="shared" si="0"/>
        <v>0</v>
      </c>
    </row>
    <row r="32" spans="1:10" x14ac:dyDescent="0.25">
      <c r="A32" s="13" t="s">
        <v>1233</v>
      </c>
      <c r="B32" s="20" t="s">
        <v>848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f t="shared" si="0"/>
        <v>0</v>
      </c>
    </row>
    <row r="33" spans="1:10" x14ac:dyDescent="0.25">
      <c r="A33" s="13" t="s">
        <v>1234</v>
      </c>
      <c r="B33" s="20" t="s">
        <v>849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f t="shared" si="0"/>
        <v>0</v>
      </c>
    </row>
    <row r="34" spans="1:10" x14ac:dyDescent="0.25">
      <c r="A34" s="13" t="s">
        <v>1235</v>
      </c>
      <c r="B34" s="20" t="s">
        <v>850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f t="shared" si="0"/>
        <v>0</v>
      </c>
    </row>
    <row r="35" spans="1:10" x14ac:dyDescent="0.25">
      <c r="A35" s="13" t="s">
        <v>1236</v>
      </c>
      <c r="B35" s="20" t="s">
        <v>851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f t="shared" si="0"/>
        <v>0</v>
      </c>
    </row>
    <row r="36" spans="1:10" x14ac:dyDescent="0.25">
      <c r="A36" s="13" t="s">
        <v>1237</v>
      </c>
      <c r="B36" s="20" t="s">
        <v>852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f t="shared" si="0"/>
        <v>0</v>
      </c>
    </row>
    <row r="37" spans="1:10" x14ac:dyDescent="0.25">
      <c r="A37" s="13" t="s">
        <v>1238</v>
      </c>
      <c r="B37" s="20" t="s">
        <v>853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f t="shared" si="0"/>
        <v>0</v>
      </c>
    </row>
    <row r="38" spans="1:10" x14ac:dyDescent="0.25">
      <c r="A38" s="13" t="s">
        <v>1239</v>
      </c>
      <c r="B38" s="20" t="s">
        <v>854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f t="shared" si="0"/>
        <v>0</v>
      </c>
    </row>
    <row r="39" spans="1:10" x14ac:dyDescent="0.25">
      <c r="A39" s="13" t="s">
        <v>1240</v>
      </c>
      <c r="B39" s="20" t="s">
        <v>855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f t="shared" si="0"/>
        <v>0</v>
      </c>
    </row>
    <row r="40" spans="1:10" x14ac:dyDescent="0.25">
      <c r="A40" s="13" t="s">
        <v>1241</v>
      </c>
      <c r="B40" s="20" t="s">
        <v>856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f t="shared" si="0"/>
        <v>0</v>
      </c>
    </row>
    <row r="41" spans="1:10" x14ac:dyDescent="0.25">
      <c r="A41" s="13" t="s">
        <v>1242</v>
      </c>
      <c r="B41" s="20" t="s">
        <v>857</v>
      </c>
      <c r="C41" s="9">
        <f>C42+C56+C59</f>
        <v>0</v>
      </c>
      <c r="D41" s="9">
        <v>0</v>
      </c>
      <c r="E41" s="9">
        <f>E42+E56+E59</f>
        <v>0</v>
      </c>
      <c r="F41" s="9">
        <v>0</v>
      </c>
      <c r="G41" s="9">
        <v>0</v>
      </c>
      <c r="H41" s="9">
        <f>H42+H56</f>
        <v>0</v>
      </c>
      <c r="I41" s="9">
        <v>0</v>
      </c>
      <c r="J41" s="9">
        <f t="shared" si="0"/>
        <v>0</v>
      </c>
    </row>
    <row r="42" spans="1:10" x14ac:dyDescent="0.25">
      <c r="A42" s="13" t="s">
        <v>1243</v>
      </c>
      <c r="B42" s="20" t="s">
        <v>858</v>
      </c>
      <c r="C42" s="9">
        <f>SUM(C43:C55)</f>
        <v>0</v>
      </c>
      <c r="D42" s="9">
        <v>0</v>
      </c>
      <c r="E42" s="9">
        <f>SUM(E43:E55)</f>
        <v>0</v>
      </c>
      <c r="F42" s="9">
        <v>0</v>
      </c>
      <c r="G42" s="9">
        <v>0</v>
      </c>
      <c r="H42" s="9">
        <v>0</v>
      </c>
      <c r="I42" s="9">
        <v>0</v>
      </c>
      <c r="J42" s="9">
        <f t="shared" si="0"/>
        <v>0</v>
      </c>
    </row>
    <row r="43" spans="1:10" x14ac:dyDescent="0.25">
      <c r="A43" s="13" t="s">
        <v>1244</v>
      </c>
      <c r="B43" s="20" t="s">
        <v>859</v>
      </c>
      <c r="C43" s="9">
        <f>'GA023(재무)'!B57</f>
        <v>0</v>
      </c>
      <c r="D43" s="9">
        <v>0</v>
      </c>
      <c r="E43" s="9">
        <f>'GA023(재무)'!B74</f>
        <v>0</v>
      </c>
      <c r="F43" s="9">
        <v>0</v>
      </c>
      <c r="G43" s="9">
        <v>0</v>
      </c>
      <c r="H43" s="9">
        <v>0</v>
      </c>
      <c r="I43" s="9">
        <v>0</v>
      </c>
      <c r="J43" s="9">
        <f t="shared" si="0"/>
        <v>0</v>
      </c>
    </row>
    <row r="44" spans="1:10" x14ac:dyDescent="0.25">
      <c r="A44" s="13" t="s">
        <v>1245</v>
      </c>
      <c r="B44" s="20" t="s">
        <v>860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f t="shared" si="0"/>
        <v>0</v>
      </c>
    </row>
    <row r="45" spans="1:10" x14ac:dyDescent="0.25">
      <c r="A45" s="13" t="s">
        <v>1246</v>
      </c>
      <c r="B45" s="20" t="s">
        <v>861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f t="shared" si="0"/>
        <v>0</v>
      </c>
    </row>
    <row r="46" spans="1:10" x14ac:dyDescent="0.25">
      <c r="A46" s="13" t="s">
        <v>1247</v>
      </c>
      <c r="B46" s="20" t="s">
        <v>862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f t="shared" si="0"/>
        <v>0</v>
      </c>
    </row>
    <row r="47" spans="1:10" x14ac:dyDescent="0.25">
      <c r="A47" s="13" t="s">
        <v>1248</v>
      </c>
      <c r="B47" s="20" t="s">
        <v>863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f t="shared" si="0"/>
        <v>0</v>
      </c>
    </row>
    <row r="48" spans="1:10" x14ac:dyDescent="0.25">
      <c r="A48" s="13" t="s">
        <v>1249</v>
      </c>
      <c r="B48" s="20" t="s">
        <v>864</v>
      </c>
      <c r="C48" s="9">
        <v>0</v>
      </c>
      <c r="D48" s="9">
        <v>0</v>
      </c>
      <c r="E48" s="9">
        <f>'GA023(재무)'!B93</f>
        <v>0</v>
      </c>
      <c r="F48" s="9">
        <v>0</v>
      </c>
      <c r="G48" s="9">
        <v>0</v>
      </c>
      <c r="H48" s="9">
        <v>0</v>
      </c>
      <c r="I48" s="9">
        <v>0</v>
      </c>
      <c r="J48" s="9">
        <f t="shared" si="0"/>
        <v>0</v>
      </c>
    </row>
    <row r="49" spans="1:10" x14ac:dyDescent="0.25">
      <c r="A49" s="13" t="s">
        <v>1250</v>
      </c>
      <c r="B49" s="20" t="s">
        <v>865</v>
      </c>
      <c r="C49" s="9">
        <v>0</v>
      </c>
      <c r="D49" s="9">
        <v>0</v>
      </c>
      <c r="E49" s="9">
        <f>'GA023(재무)'!B81</f>
        <v>0</v>
      </c>
      <c r="F49" s="9">
        <v>0</v>
      </c>
      <c r="G49" s="9">
        <v>0</v>
      </c>
      <c r="H49" s="9">
        <v>0</v>
      </c>
      <c r="I49" s="9">
        <v>0</v>
      </c>
      <c r="J49" s="9">
        <f>SUM(C49:I49)</f>
        <v>0</v>
      </c>
    </row>
    <row r="50" spans="1:10" x14ac:dyDescent="0.25">
      <c r="A50" s="13" t="s">
        <v>1251</v>
      </c>
      <c r="B50" s="20" t="s">
        <v>866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f t="shared" si="0"/>
        <v>0</v>
      </c>
    </row>
    <row r="51" spans="1:10" x14ac:dyDescent="0.25">
      <c r="A51" s="13" t="s">
        <v>1252</v>
      </c>
      <c r="B51" s="20" t="s">
        <v>867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f t="shared" si="0"/>
        <v>0</v>
      </c>
    </row>
    <row r="52" spans="1:10" x14ac:dyDescent="0.25">
      <c r="A52" s="13" t="s">
        <v>1253</v>
      </c>
      <c r="B52" s="20" t="s">
        <v>868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f t="shared" si="0"/>
        <v>0</v>
      </c>
    </row>
    <row r="53" spans="1:10" x14ac:dyDescent="0.25">
      <c r="A53" s="13" t="s">
        <v>1254</v>
      </c>
      <c r="B53" s="20" t="s">
        <v>869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f t="shared" si="0"/>
        <v>0</v>
      </c>
    </row>
    <row r="54" spans="1:10" x14ac:dyDescent="0.25">
      <c r="A54" s="13" t="s">
        <v>1255</v>
      </c>
      <c r="B54" s="20" t="s">
        <v>870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f t="shared" si="0"/>
        <v>0</v>
      </c>
    </row>
    <row r="55" spans="1:10" x14ac:dyDescent="0.25">
      <c r="A55" s="13" t="s">
        <v>1256</v>
      </c>
      <c r="B55" s="20" t="s">
        <v>842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f t="shared" si="0"/>
        <v>0</v>
      </c>
    </row>
    <row r="56" spans="1:10" x14ac:dyDescent="0.25">
      <c r="A56" s="13" t="s">
        <v>1257</v>
      </c>
      <c r="B56" s="20" t="s">
        <v>871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f>SUM(H57:H58)</f>
        <v>0</v>
      </c>
      <c r="I56" s="9">
        <v>0</v>
      </c>
      <c r="J56" s="9">
        <f t="shared" si="0"/>
        <v>0</v>
      </c>
    </row>
    <row r="57" spans="1:10" x14ac:dyDescent="0.25">
      <c r="A57" s="13" t="s">
        <v>1258</v>
      </c>
      <c r="B57" s="20" t="s">
        <v>872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f t="shared" si="0"/>
        <v>0</v>
      </c>
    </row>
    <row r="58" spans="1:10" x14ac:dyDescent="0.25">
      <c r="A58" s="13" t="s">
        <v>1259</v>
      </c>
      <c r="B58" s="20" t="s">
        <v>873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f>'GA023(재무)'!B101</f>
        <v>0</v>
      </c>
      <c r="I58" s="9">
        <v>0</v>
      </c>
      <c r="J58" s="9">
        <f>SUM(C58:I58)</f>
        <v>0</v>
      </c>
    </row>
    <row r="59" spans="1:10" x14ac:dyDescent="0.25">
      <c r="A59" s="13" t="s">
        <v>1260</v>
      </c>
      <c r="B59" s="20" t="s">
        <v>874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f t="shared" si="0"/>
        <v>0</v>
      </c>
    </row>
    <row r="60" spans="1:10" x14ac:dyDescent="0.25">
      <c r="A60" s="13" t="s">
        <v>1261</v>
      </c>
      <c r="B60" s="20" t="s">
        <v>875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f t="shared" si="0"/>
        <v>0</v>
      </c>
    </row>
    <row r="61" spans="1:10" x14ac:dyDescent="0.25">
      <c r="A61" s="13" t="s">
        <v>1262</v>
      </c>
      <c r="B61" s="20" t="s">
        <v>876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f t="shared" si="0"/>
        <v>0</v>
      </c>
    </row>
    <row r="62" spans="1:10" x14ac:dyDescent="0.25">
      <c r="A62" s="13" t="s">
        <v>1263</v>
      </c>
      <c r="B62" s="20" t="s">
        <v>877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f t="shared" si="0"/>
        <v>0</v>
      </c>
    </row>
    <row r="63" spans="1:10" x14ac:dyDescent="0.25">
      <c r="A63" s="13" t="s">
        <v>1264</v>
      </c>
      <c r="B63" s="20" t="s">
        <v>878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f t="shared" si="0"/>
        <v>0</v>
      </c>
    </row>
    <row r="64" spans="1:10" x14ac:dyDescent="0.25">
      <c r="A64" s="13" t="s">
        <v>1265</v>
      </c>
      <c r="B64" s="20" t="s">
        <v>879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f t="shared" si="0"/>
        <v>0</v>
      </c>
    </row>
    <row r="65" spans="1:10" x14ac:dyDescent="0.25">
      <c r="A65" s="13" t="s">
        <v>1266</v>
      </c>
      <c r="B65" s="20" t="s">
        <v>880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f t="shared" si="0"/>
        <v>0</v>
      </c>
    </row>
    <row r="66" spans="1:10" x14ac:dyDescent="0.25">
      <c r="A66" s="13" t="s">
        <v>1267</v>
      </c>
      <c r="B66" s="20" t="s">
        <v>881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f t="shared" si="0"/>
        <v>0</v>
      </c>
    </row>
    <row r="67" spans="1:10" x14ac:dyDescent="0.25">
      <c r="A67" s="13" t="s">
        <v>1268</v>
      </c>
      <c r="B67" s="20" t="s">
        <v>882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f t="shared" si="0"/>
        <v>0</v>
      </c>
    </row>
    <row r="68" spans="1:10" x14ac:dyDescent="0.25">
      <c r="A68" s="13" t="s">
        <v>1269</v>
      </c>
      <c r="B68" s="20" t="s">
        <v>883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f t="shared" si="0"/>
        <v>0</v>
      </c>
    </row>
    <row r="69" spans="1:10" x14ac:dyDescent="0.25">
      <c r="A69" s="13" t="s">
        <v>1270</v>
      </c>
      <c r="B69" s="20" t="s">
        <v>884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f t="shared" si="0"/>
        <v>0</v>
      </c>
    </row>
    <row r="70" spans="1:10" x14ac:dyDescent="0.25">
      <c r="A70" s="13" t="s">
        <v>1271</v>
      </c>
      <c r="B70" s="20" t="s">
        <v>885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f t="shared" si="0"/>
        <v>0</v>
      </c>
    </row>
    <row r="71" spans="1:10" x14ac:dyDescent="0.25">
      <c r="A71" s="13" t="s">
        <v>1272</v>
      </c>
      <c r="B71" s="20" t="s">
        <v>886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f t="shared" si="0"/>
        <v>0</v>
      </c>
    </row>
    <row r="72" spans="1:10" x14ac:dyDescent="0.25">
      <c r="A72" s="13" t="s">
        <v>1273</v>
      </c>
      <c r="B72" s="20" t="s">
        <v>887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f t="shared" si="0"/>
        <v>0</v>
      </c>
    </row>
    <row r="73" spans="1:10" x14ac:dyDescent="0.25">
      <c r="A73" s="13" t="s">
        <v>1274</v>
      </c>
      <c r="B73" s="20" t="s">
        <v>888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f t="shared" si="0"/>
        <v>0</v>
      </c>
    </row>
    <row r="74" spans="1:10" x14ac:dyDescent="0.25">
      <c r="A74" s="13" t="s">
        <v>1275</v>
      </c>
      <c r="B74" s="20" t="s">
        <v>889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f t="shared" si="0"/>
        <v>0</v>
      </c>
    </row>
    <row r="75" spans="1:10" x14ac:dyDescent="0.25">
      <c r="A75" s="13" t="s">
        <v>1276</v>
      </c>
      <c r="B75" s="20" t="s">
        <v>890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f t="shared" si="0"/>
        <v>0</v>
      </c>
    </row>
    <row r="76" spans="1:10" x14ac:dyDescent="0.25">
      <c r="A76" s="13" t="s">
        <v>1277</v>
      </c>
      <c r="B76" s="20" t="s">
        <v>891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f t="shared" si="0"/>
        <v>0</v>
      </c>
    </row>
    <row r="77" spans="1:10" x14ac:dyDescent="0.25">
      <c r="A77" s="13" t="s">
        <v>1278</v>
      </c>
      <c r="B77" s="20" t="s">
        <v>892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f t="shared" si="0"/>
        <v>0</v>
      </c>
    </row>
    <row r="78" spans="1:10" x14ac:dyDescent="0.25">
      <c r="A78" s="13" t="s">
        <v>1279</v>
      </c>
      <c r="B78" s="20" t="s">
        <v>893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f t="shared" si="0"/>
        <v>0</v>
      </c>
    </row>
    <row r="79" spans="1:10" x14ac:dyDescent="0.25">
      <c r="A79" s="13" t="s">
        <v>1280</v>
      </c>
      <c r="B79" s="20" t="s">
        <v>894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f t="shared" ref="J79:J114" si="1">SUM(C79:I79)</f>
        <v>0</v>
      </c>
    </row>
    <row r="80" spans="1:10" x14ac:dyDescent="0.25">
      <c r="A80" s="13" t="s">
        <v>1281</v>
      </c>
      <c r="B80" s="20" t="s">
        <v>895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f t="shared" si="1"/>
        <v>0</v>
      </c>
    </row>
    <row r="81" spans="1:10" x14ac:dyDescent="0.25">
      <c r="A81" s="13" t="s">
        <v>1282</v>
      </c>
      <c r="B81" s="20" t="s">
        <v>896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f t="shared" si="1"/>
        <v>0</v>
      </c>
    </row>
    <row r="82" spans="1:10" x14ac:dyDescent="0.25">
      <c r="A82" s="13" t="s">
        <v>1283</v>
      </c>
      <c r="B82" s="20" t="s">
        <v>897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f t="shared" si="1"/>
        <v>0</v>
      </c>
    </row>
    <row r="83" spans="1:10" x14ac:dyDescent="0.25">
      <c r="A83" s="13" t="s">
        <v>1284</v>
      </c>
      <c r="B83" s="20" t="s">
        <v>898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f t="shared" si="1"/>
        <v>0</v>
      </c>
    </row>
    <row r="84" spans="1:10" x14ac:dyDescent="0.25">
      <c r="A84" s="13" t="s">
        <v>1285</v>
      </c>
      <c r="B84" s="20" t="s">
        <v>899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f t="shared" si="1"/>
        <v>0</v>
      </c>
    </row>
    <row r="85" spans="1:10" x14ac:dyDescent="0.25">
      <c r="A85" s="13" t="s">
        <v>1286</v>
      </c>
      <c r="B85" s="20" t="s">
        <v>900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f t="shared" si="1"/>
        <v>0</v>
      </c>
    </row>
    <row r="86" spans="1:10" x14ac:dyDescent="0.25">
      <c r="A86" s="13" t="s">
        <v>1287</v>
      </c>
      <c r="B86" s="20" t="s">
        <v>901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f t="shared" si="1"/>
        <v>0</v>
      </c>
    </row>
    <row r="87" spans="1:10" x14ac:dyDescent="0.25">
      <c r="A87" s="13" t="s">
        <v>1288</v>
      </c>
      <c r="B87" s="20" t="s">
        <v>902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f t="shared" si="1"/>
        <v>0</v>
      </c>
    </row>
    <row r="88" spans="1:10" x14ac:dyDescent="0.25">
      <c r="A88" s="13" t="s">
        <v>1289</v>
      </c>
      <c r="B88" s="20" t="s">
        <v>903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f t="shared" si="1"/>
        <v>0</v>
      </c>
    </row>
    <row r="89" spans="1:10" x14ac:dyDescent="0.25">
      <c r="A89" s="13" t="s">
        <v>1290</v>
      </c>
      <c r="B89" s="20" t="s">
        <v>904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f t="shared" si="1"/>
        <v>0</v>
      </c>
    </row>
    <row r="90" spans="1:10" x14ac:dyDescent="0.25">
      <c r="A90" s="13" t="s">
        <v>1291</v>
      </c>
      <c r="B90" s="20" t="s">
        <v>905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f t="shared" si="1"/>
        <v>0</v>
      </c>
    </row>
    <row r="91" spans="1:10" x14ac:dyDescent="0.25">
      <c r="A91" s="13" t="s">
        <v>1292</v>
      </c>
      <c r="B91" s="20" t="s">
        <v>906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f t="shared" si="1"/>
        <v>0</v>
      </c>
    </row>
    <row r="92" spans="1:10" x14ac:dyDescent="0.25">
      <c r="A92" s="13" t="s">
        <v>1293</v>
      </c>
      <c r="B92" s="20" t="s">
        <v>907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f t="shared" si="1"/>
        <v>0</v>
      </c>
    </row>
    <row r="93" spans="1:10" x14ac:dyDescent="0.25">
      <c r="A93" s="13" t="s">
        <v>1294</v>
      </c>
      <c r="B93" s="20" t="s">
        <v>908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f t="shared" si="1"/>
        <v>0</v>
      </c>
    </row>
    <row r="94" spans="1:10" x14ac:dyDescent="0.25">
      <c r="A94" s="13" t="s">
        <v>1295</v>
      </c>
      <c r="B94" s="20" t="s">
        <v>909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f t="shared" si="1"/>
        <v>0</v>
      </c>
    </row>
    <row r="95" spans="1:10" x14ac:dyDescent="0.25">
      <c r="A95" s="13" t="s">
        <v>1296</v>
      </c>
      <c r="B95" s="20" t="s">
        <v>910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f t="shared" si="1"/>
        <v>0</v>
      </c>
    </row>
    <row r="96" spans="1:10" x14ac:dyDescent="0.25">
      <c r="A96" s="13" t="s">
        <v>1297</v>
      </c>
      <c r="B96" s="20" t="s">
        <v>911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f t="shared" si="1"/>
        <v>0</v>
      </c>
    </row>
    <row r="97" spans="1:10" x14ac:dyDescent="0.25">
      <c r="A97" s="13" t="s">
        <v>1298</v>
      </c>
      <c r="B97" s="20" t="s">
        <v>912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f t="shared" si="1"/>
        <v>0</v>
      </c>
    </row>
    <row r="98" spans="1:10" x14ac:dyDescent="0.25">
      <c r="A98" s="13" t="s">
        <v>1299</v>
      </c>
      <c r="B98" s="20" t="s">
        <v>913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f t="shared" si="1"/>
        <v>0</v>
      </c>
    </row>
    <row r="99" spans="1:10" x14ac:dyDescent="0.25">
      <c r="A99" s="13" t="s">
        <v>1300</v>
      </c>
      <c r="B99" s="20" t="s">
        <v>914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f t="shared" si="1"/>
        <v>0</v>
      </c>
    </row>
    <row r="100" spans="1:10" x14ac:dyDescent="0.25">
      <c r="A100" s="13" t="s">
        <v>1301</v>
      </c>
      <c r="B100" s="20" t="s">
        <v>915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f t="shared" si="1"/>
        <v>0</v>
      </c>
    </row>
    <row r="101" spans="1:10" x14ac:dyDescent="0.25">
      <c r="A101" s="13" t="s">
        <v>1302</v>
      </c>
      <c r="B101" s="20" t="s">
        <v>916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f t="shared" si="1"/>
        <v>0</v>
      </c>
    </row>
    <row r="102" spans="1:10" x14ac:dyDescent="0.25">
      <c r="A102" s="13" t="s">
        <v>1303</v>
      </c>
      <c r="B102" s="20" t="s">
        <v>917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f t="shared" si="1"/>
        <v>0</v>
      </c>
    </row>
    <row r="103" spans="1:10" x14ac:dyDescent="0.25">
      <c r="A103" s="13" t="s">
        <v>1304</v>
      </c>
      <c r="B103" s="20" t="s">
        <v>918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f t="shared" si="1"/>
        <v>0</v>
      </c>
    </row>
    <row r="104" spans="1:10" x14ac:dyDescent="0.25">
      <c r="A104" s="13" t="s">
        <v>1305</v>
      </c>
      <c r="B104" s="20" t="s">
        <v>919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f t="shared" si="1"/>
        <v>0</v>
      </c>
    </row>
    <row r="105" spans="1:10" x14ac:dyDescent="0.25">
      <c r="A105" s="13" t="s">
        <v>1306</v>
      </c>
      <c r="B105" s="20" t="s">
        <v>920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f t="shared" si="1"/>
        <v>0</v>
      </c>
    </row>
    <row r="106" spans="1:10" x14ac:dyDescent="0.25">
      <c r="A106" s="13" t="s">
        <v>1307</v>
      </c>
      <c r="B106" s="20" t="s">
        <v>921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f t="shared" si="1"/>
        <v>0</v>
      </c>
    </row>
    <row r="107" spans="1:10" x14ac:dyDescent="0.25">
      <c r="A107" s="13" t="s">
        <v>1308</v>
      </c>
      <c r="B107" s="20" t="s">
        <v>922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f t="shared" si="1"/>
        <v>0</v>
      </c>
    </row>
    <row r="108" spans="1:10" x14ac:dyDescent="0.25">
      <c r="A108" s="13" t="s">
        <v>1309</v>
      </c>
      <c r="B108" s="20" t="s">
        <v>923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f t="shared" si="1"/>
        <v>0</v>
      </c>
    </row>
    <row r="109" spans="1:10" x14ac:dyDescent="0.25">
      <c r="A109" s="13" t="s">
        <v>1310</v>
      </c>
      <c r="B109" s="20" t="s">
        <v>924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f t="shared" si="1"/>
        <v>0</v>
      </c>
    </row>
    <row r="110" spans="1:10" x14ac:dyDescent="0.25">
      <c r="A110" s="13" t="s">
        <v>1311</v>
      </c>
      <c r="B110" s="20" t="s">
        <v>925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f t="shared" si="1"/>
        <v>0</v>
      </c>
    </row>
    <row r="111" spans="1:10" x14ac:dyDescent="0.25">
      <c r="A111" s="13" t="s">
        <v>1312</v>
      </c>
      <c r="B111" s="20" t="s">
        <v>926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f t="shared" si="1"/>
        <v>0</v>
      </c>
    </row>
    <row r="112" spans="1:10" x14ac:dyDescent="0.25">
      <c r="A112" s="13" t="s">
        <v>1313</v>
      </c>
      <c r="B112" s="20" t="s">
        <v>927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f t="shared" si="1"/>
        <v>0</v>
      </c>
    </row>
    <row r="113" spans="1:10" x14ac:dyDescent="0.25">
      <c r="A113" s="13" t="s">
        <v>1314</v>
      </c>
      <c r="B113" s="20" t="s">
        <v>928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f t="shared" si="1"/>
        <v>0</v>
      </c>
    </row>
    <row r="114" spans="1:10" x14ac:dyDescent="0.25">
      <c r="A114" s="13" t="s">
        <v>1315</v>
      </c>
      <c r="B114" s="20" t="s">
        <v>929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f>H116+H117+H118+H119+H120+H121+H122+H123+H124-H125-H126-H127</f>
        <v>0</v>
      </c>
      <c r="I114" s="9">
        <v>0</v>
      </c>
      <c r="J114" s="9">
        <f t="shared" si="1"/>
        <v>0</v>
      </c>
    </row>
    <row r="115" spans="1:10" x14ac:dyDescent="0.25">
      <c r="A115" s="13" t="s">
        <v>1316</v>
      </c>
      <c r="B115" s="20" t="s">
        <v>260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f t="shared" ref="J115:J142" si="2">SUM(C115:I115)</f>
        <v>0</v>
      </c>
    </row>
    <row r="116" spans="1:10" x14ac:dyDescent="0.25">
      <c r="A116" s="13" t="s">
        <v>1317</v>
      </c>
      <c r="B116" s="20" t="s">
        <v>930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f t="shared" si="2"/>
        <v>0</v>
      </c>
    </row>
    <row r="117" spans="1:10" x14ac:dyDescent="0.25">
      <c r="A117" s="13" t="s">
        <v>1318</v>
      </c>
      <c r="B117" s="20" t="s">
        <v>931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f t="shared" si="2"/>
        <v>0</v>
      </c>
    </row>
    <row r="118" spans="1:10" x14ac:dyDescent="0.25">
      <c r="A118" s="13" t="s">
        <v>1319</v>
      </c>
      <c r="B118" s="20" t="s">
        <v>932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f t="shared" si="2"/>
        <v>0</v>
      </c>
    </row>
    <row r="119" spans="1:10" x14ac:dyDescent="0.25">
      <c r="A119" s="13" t="s">
        <v>1320</v>
      </c>
      <c r="B119" s="20" t="s">
        <v>933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f t="shared" si="2"/>
        <v>0</v>
      </c>
    </row>
    <row r="120" spans="1:10" x14ac:dyDescent="0.25">
      <c r="A120" s="13" t="s">
        <v>1321</v>
      </c>
      <c r="B120" s="20" t="s">
        <v>934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f>'GA023(재무)'!B191</f>
        <v>0</v>
      </c>
      <c r="I120" s="9">
        <v>0</v>
      </c>
      <c r="J120" s="9">
        <f t="shared" si="2"/>
        <v>0</v>
      </c>
    </row>
    <row r="121" spans="1:10" x14ac:dyDescent="0.25">
      <c r="A121" s="13" t="s">
        <v>1322</v>
      </c>
      <c r="B121" s="20" t="s">
        <v>935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f t="shared" si="2"/>
        <v>0</v>
      </c>
    </row>
    <row r="122" spans="1:10" x14ac:dyDescent="0.25">
      <c r="A122" s="13" t="s">
        <v>1323</v>
      </c>
      <c r="B122" s="20" t="s">
        <v>936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f t="shared" si="2"/>
        <v>0</v>
      </c>
    </row>
    <row r="123" spans="1:10" x14ac:dyDescent="0.25">
      <c r="A123" s="13" t="s">
        <v>1324</v>
      </c>
      <c r="B123" s="20" t="s">
        <v>937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f t="shared" si="2"/>
        <v>0</v>
      </c>
    </row>
    <row r="124" spans="1:10" x14ac:dyDescent="0.25">
      <c r="A124" s="13" t="s">
        <v>1325</v>
      </c>
      <c r="B124" s="20" t="s">
        <v>938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f>'GA023(재무)'!B195</f>
        <v>0</v>
      </c>
      <c r="I124" s="9">
        <v>0</v>
      </c>
      <c r="J124" s="9">
        <f>SUM(C124:I124)</f>
        <v>0</v>
      </c>
    </row>
    <row r="125" spans="1:10" x14ac:dyDescent="0.25">
      <c r="A125" s="13" t="s">
        <v>1326</v>
      </c>
      <c r="B125" s="20" t="s">
        <v>939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f>'GA023(재무)'!B196</f>
        <v>0</v>
      </c>
      <c r="I125" s="9">
        <v>0</v>
      </c>
      <c r="J125" s="9">
        <f t="shared" si="2"/>
        <v>0</v>
      </c>
    </row>
    <row r="126" spans="1:10" x14ac:dyDescent="0.25">
      <c r="A126" s="13" t="s">
        <v>1327</v>
      </c>
      <c r="B126" s="20" t="s">
        <v>940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f t="shared" si="2"/>
        <v>0</v>
      </c>
    </row>
    <row r="127" spans="1:10" x14ac:dyDescent="0.25">
      <c r="A127" s="13" t="s">
        <v>1328</v>
      </c>
      <c r="B127" s="20" t="s">
        <v>941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f t="shared" si="2"/>
        <v>0</v>
      </c>
    </row>
    <row r="128" spans="1:10" x14ac:dyDescent="0.25">
      <c r="A128" s="13" t="s">
        <v>1329</v>
      </c>
      <c r="B128" s="20" t="s">
        <v>942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f t="shared" si="2"/>
        <v>0</v>
      </c>
    </row>
    <row r="129" spans="1:10" x14ac:dyDescent="0.25">
      <c r="A129" s="13" t="s">
        <v>1330</v>
      </c>
      <c r="B129" s="20" t="s">
        <v>943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f t="shared" si="2"/>
        <v>0</v>
      </c>
    </row>
    <row r="130" spans="1:10" x14ac:dyDescent="0.25">
      <c r="A130" s="13" t="s">
        <v>1331</v>
      </c>
      <c r="B130" s="20" t="s">
        <v>944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f t="shared" si="2"/>
        <v>0</v>
      </c>
    </row>
    <row r="131" spans="1:10" x14ac:dyDescent="0.25">
      <c r="A131" s="13" t="s">
        <v>1332</v>
      </c>
      <c r="B131" s="20" t="s">
        <v>945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f t="shared" si="2"/>
        <v>0</v>
      </c>
    </row>
    <row r="132" spans="1:10" x14ac:dyDescent="0.25">
      <c r="A132" s="13" t="s">
        <v>1333</v>
      </c>
      <c r="B132" s="20" t="s">
        <v>946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f t="shared" si="2"/>
        <v>0</v>
      </c>
    </row>
    <row r="133" spans="1:10" x14ac:dyDescent="0.25">
      <c r="A133" s="13" t="s">
        <v>1334</v>
      </c>
      <c r="B133" s="20" t="s">
        <v>947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f t="shared" si="2"/>
        <v>0</v>
      </c>
    </row>
    <row r="134" spans="1:10" x14ac:dyDescent="0.25">
      <c r="A134" s="13" t="s">
        <v>1335</v>
      </c>
      <c r="B134" s="20" t="s">
        <v>948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f t="shared" si="2"/>
        <v>0</v>
      </c>
    </row>
    <row r="135" spans="1:10" x14ac:dyDescent="0.25">
      <c r="A135" s="13" t="s">
        <v>1336</v>
      </c>
      <c r="B135" s="20" t="s">
        <v>949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f t="shared" si="2"/>
        <v>0</v>
      </c>
    </row>
    <row r="136" spans="1:10" x14ac:dyDescent="0.25">
      <c r="A136" s="13" t="s">
        <v>1337</v>
      </c>
      <c r="B136" s="20" t="s">
        <v>950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f t="shared" si="2"/>
        <v>0</v>
      </c>
    </row>
    <row r="137" spans="1:10" x14ac:dyDescent="0.25">
      <c r="A137" s="13" t="s">
        <v>1338</v>
      </c>
      <c r="B137" s="20" t="s">
        <v>951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f t="shared" si="2"/>
        <v>0</v>
      </c>
    </row>
    <row r="138" spans="1:10" x14ac:dyDescent="0.25">
      <c r="A138" s="13" t="s">
        <v>1339</v>
      </c>
      <c r="B138" s="20" t="s">
        <v>952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f>H141+H146+H152+H157+H158+H159+H160+H161+H162+H163+H164+H167+H168+H169+H170+H165</f>
        <v>0</v>
      </c>
      <c r="I138" s="9">
        <v>0</v>
      </c>
      <c r="J138" s="9">
        <f t="shared" si="2"/>
        <v>0</v>
      </c>
    </row>
    <row r="139" spans="1:10" x14ac:dyDescent="0.25">
      <c r="A139" s="13" t="s">
        <v>1340</v>
      </c>
      <c r="B139" s="20" t="s">
        <v>890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f t="shared" si="2"/>
        <v>0</v>
      </c>
    </row>
    <row r="140" spans="1:10" x14ac:dyDescent="0.25">
      <c r="A140" s="13" t="s">
        <v>1341</v>
      </c>
      <c r="B140" s="20" t="s">
        <v>891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f t="shared" si="2"/>
        <v>0</v>
      </c>
    </row>
    <row r="141" spans="1:10" x14ac:dyDescent="0.25">
      <c r="A141" s="13" t="s">
        <v>1342</v>
      </c>
      <c r="B141" s="20" t="s">
        <v>953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f>SUM(H142:H145)</f>
        <v>0</v>
      </c>
      <c r="I141" s="9">
        <v>0</v>
      </c>
      <c r="J141" s="9">
        <f t="shared" si="2"/>
        <v>0</v>
      </c>
    </row>
    <row r="142" spans="1:10" x14ac:dyDescent="0.25">
      <c r="A142" s="13" t="s">
        <v>1343</v>
      </c>
      <c r="B142" s="20" t="s">
        <v>954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f t="shared" si="2"/>
        <v>0</v>
      </c>
    </row>
    <row r="143" spans="1:10" x14ac:dyDescent="0.25">
      <c r="A143" s="13" t="s">
        <v>1344</v>
      </c>
      <c r="B143" s="20" t="s">
        <v>955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f t="shared" ref="J143:J179" si="3">SUM(C143:I143)</f>
        <v>0</v>
      </c>
    </row>
    <row r="144" spans="1:10" x14ac:dyDescent="0.25">
      <c r="A144" s="13" t="s">
        <v>1345</v>
      </c>
      <c r="B144" s="20" t="s">
        <v>956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f t="shared" si="3"/>
        <v>0</v>
      </c>
    </row>
    <row r="145" spans="1:10" x14ac:dyDescent="0.25">
      <c r="A145" s="13" t="s">
        <v>1346</v>
      </c>
      <c r="B145" s="20" t="s">
        <v>957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f>'GA023(재무)'!B232</f>
        <v>0</v>
      </c>
      <c r="I145" s="9">
        <v>0</v>
      </c>
      <c r="J145" s="9">
        <f t="shared" si="3"/>
        <v>0</v>
      </c>
    </row>
    <row r="146" spans="1:10" x14ac:dyDescent="0.25">
      <c r="A146" s="13" t="s">
        <v>1347</v>
      </c>
      <c r="B146" s="20" t="s">
        <v>958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f>SUM(H147:H151)</f>
        <v>0</v>
      </c>
      <c r="I146" s="9">
        <v>0</v>
      </c>
      <c r="J146" s="9">
        <f t="shared" si="3"/>
        <v>0</v>
      </c>
    </row>
    <row r="147" spans="1:10" x14ac:dyDescent="0.25">
      <c r="A147" s="13" t="s">
        <v>1348</v>
      </c>
      <c r="B147" s="20" t="s">
        <v>959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f>'GA023(재무)'!B234</f>
        <v>0</v>
      </c>
      <c r="I147" s="9">
        <v>0</v>
      </c>
      <c r="J147" s="9">
        <f t="shared" si="3"/>
        <v>0</v>
      </c>
    </row>
    <row r="148" spans="1:10" x14ac:dyDescent="0.25">
      <c r="A148" s="13" t="s">
        <v>1349</v>
      </c>
      <c r="B148" s="20" t="s">
        <v>960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f t="shared" si="3"/>
        <v>0</v>
      </c>
    </row>
    <row r="149" spans="1:10" x14ac:dyDescent="0.25">
      <c r="A149" s="13" t="s">
        <v>1350</v>
      </c>
      <c r="B149" s="20" t="s">
        <v>961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f t="shared" si="3"/>
        <v>0</v>
      </c>
    </row>
    <row r="150" spans="1:10" x14ac:dyDescent="0.25">
      <c r="A150" s="13" t="s">
        <v>1351</v>
      </c>
      <c r="B150" s="20" t="s">
        <v>962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f t="shared" si="3"/>
        <v>0</v>
      </c>
    </row>
    <row r="151" spans="1:10" x14ac:dyDescent="0.25">
      <c r="A151" s="13" t="s">
        <v>1352</v>
      </c>
      <c r="B151" s="20" t="s">
        <v>899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f t="shared" si="3"/>
        <v>0</v>
      </c>
    </row>
    <row r="152" spans="1:10" x14ac:dyDescent="0.25">
      <c r="A152" s="13" t="s">
        <v>1353</v>
      </c>
      <c r="B152" s="20" t="s">
        <v>963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f>SUM(H153:H156)</f>
        <v>0</v>
      </c>
      <c r="I152" s="9">
        <v>0</v>
      </c>
      <c r="J152" s="9">
        <f t="shared" si="3"/>
        <v>0</v>
      </c>
    </row>
    <row r="153" spans="1:10" x14ac:dyDescent="0.25">
      <c r="A153" s="13" t="s">
        <v>1354</v>
      </c>
      <c r="B153" s="20" t="s">
        <v>964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f t="shared" si="3"/>
        <v>0</v>
      </c>
    </row>
    <row r="154" spans="1:10" x14ac:dyDescent="0.25">
      <c r="A154" s="13" t="s">
        <v>1355</v>
      </c>
      <c r="B154" s="20" t="s">
        <v>965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f t="shared" si="3"/>
        <v>0</v>
      </c>
    </row>
    <row r="155" spans="1:10" x14ac:dyDescent="0.25">
      <c r="A155" s="13" t="s">
        <v>1356</v>
      </c>
      <c r="B155" s="20" t="s">
        <v>966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f t="shared" si="3"/>
        <v>0</v>
      </c>
    </row>
    <row r="156" spans="1:10" x14ac:dyDescent="0.25">
      <c r="A156" s="13" t="s">
        <v>1357</v>
      </c>
      <c r="B156" s="20" t="s">
        <v>957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f>'GA023(재무)'!B258</f>
        <v>0</v>
      </c>
      <c r="I156" s="9">
        <v>0</v>
      </c>
      <c r="J156" s="9">
        <f t="shared" si="3"/>
        <v>0</v>
      </c>
    </row>
    <row r="157" spans="1:10" x14ac:dyDescent="0.25">
      <c r="A157" s="13" t="s">
        <v>1358</v>
      </c>
      <c r="B157" s="20" t="s">
        <v>967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f>'GA023(재무)'!B260</f>
        <v>0</v>
      </c>
      <c r="I157" s="9">
        <v>0</v>
      </c>
      <c r="J157" s="9">
        <f t="shared" si="3"/>
        <v>0</v>
      </c>
    </row>
    <row r="158" spans="1:10" x14ac:dyDescent="0.25">
      <c r="A158" s="13" t="s">
        <v>1359</v>
      </c>
      <c r="B158" s="20" t="s">
        <v>968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f>'GA023(재무)'!B259</f>
        <v>0</v>
      </c>
      <c r="I158" s="9">
        <v>0</v>
      </c>
      <c r="J158" s="9">
        <f t="shared" si="3"/>
        <v>0</v>
      </c>
    </row>
    <row r="159" spans="1:10" x14ac:dyDescent="0.25">
      <c r="A159" s="13" t="s">
        <v>1360</v>
      </c>
      <c r="B159" s="20" t="s">
        <v>969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f t="shared" si="3"/>
        <v>0</v>
      </c>
    </row>
    <row r="160" spans="1:10" x14ac:dyDescent="0.25">
      <c r="A160" s="13" t="s">
        <v>1361</v>
      </c>
      <c r="B160" s="20" t="s">
        <v>970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f t="shared" si="3"/>
        <v>0</v>
      </c>
    </row>
    <row r="161" spans="1:10" x14ac:dyDescent="0.25">
      <c r="A161" s="13" t="s">
        <v>1362</v>
      </c>
      <c r="B161" s="20" t="s">
        <v>971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f t="shared" si="3"/>
        <v>0</v>
      </c>
    </row>
    <row r="162" spans="1:10" x14ac:dyDescent="0.25">
      <c r="A162" s="13" t="s">
        <v>1363</v>
      </c>
      <c r="B162" s="20" t="s">
        <v>972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f>'GA023(재무)'!B269</f>
        <v>0</v>
      </c>
      <c r="I162" s="9">
        <v>0</v>
      </c>
      <c r="J162" s="9">
        <f t="shared" si="3"/>
        <v>0</v>
      </c>
    </row>
    <row r="163" spans="1:10" x14ac:dyDescent="0.25">
      <c r="A163" s="13" t="s">
        <v>1364</v>
      </c>
      <c r="B163" s="20" t="s">
        <v>973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f t="shared" si="3"/>
        <v>0</v>
      </c>
    </row>
    <row r="164" spans="1:10" x14ac:dyDescent="0.25">
      <c r="A164" s="13" t="s">
        <v>1365</v>
      </c>
      <c r="B164" s="20" t="s">
        <v>974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f t="shared" si="3"/>
        <v>0</v>
      </c>
    </row>
    <row r="165" spans="1:10" x14ac:dyDescent="0.25">
      <c r="A165" s="13" t="s">
        <v>1366</v>
      </c>
      <c r="B165" s="20" t="s">
        <v>975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f>'GA023(재무)'!B284</f>
        <v>0</v>
      </c>
      <c r="I165" s="9">
        <v>0</v>
      </c>
      <c r="J165" s="9">
        <f t="shared" si="3"/>
        <v>0</v>
      </c>
    </row>
    <row r="166" spans="1:10" x14ac:dyDescent="0.25">
      <c r="A166" s="13" t="s">
        <v>1367</v>
      </c>
      <c r="B166" s="20" t="s">
        <v>976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f t="shared" si="3"/>
        <v>0</v>
      </c>
    </row>
    <row r="167" spans="1:10" x14ac:dyDescent="0.25">
      <c r="A167" s="13" t="s">
        <v>1368</v>
      </c>
      <c r="B167" s="20" t="s">
        <v>977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f>'GA023(재무)'!B291</f>
        <v>0</v>
      </c>
      <c r="I167" s="9">
        <v>0</v>
      </c>
      <c r="J167" s="9">
        <f t="shared" si="3"/>
        <v>0</v>
      </c>
    </row>
    <row r="168" spans="1:10" x14ac:dyDescent="0.25">
      <c r="A168" s="13" t="s">
        <v>1369</v>
      </c>
      <c r="B168" s="20" t="s">
        <v>978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f t="shared" si="3"/>
        <v>0</v>
      </c>
    </row>
    <row r="169" spans="1:10" x14ac:dyDescent="0.25">
      <c r="A169" s="13" t="s">
        <v>1370</v>
      </c>
      <c r="B169" s="20" t="s">
        <v>979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f t="shared" si="3"/>
        <v>0</v>
      </c>
    </row>
    <row r="170" spans="1:10" x14ac:dyDescent="0.25">
      <c r="A170" s="13" t="s">
        <v>1371</v>
      </c>
      <c r="B170" s="20" t="s">
        <v>980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f>'GA023(재무)'!B294</f>
        <v>0</v>
      </c>
      <c r="I170" s="9">
        <v>0</v>
      </c>
      <c r="J170" s="9">
        <f t="shared" si="3"/>
        <v>0</v>
      </c>
    </row>
    <row r="171" spans="1:10" x14ac:dyDescent="0.25">
      <c r="A171" s="13" t="s">
        <v>1372</v>
      </c>
      <c r="B171" s="20" t="s">
        <v>981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f t="shared" si="3"/>
        <v>0</v>
      </c>
    </row>
    <row r="172" spans="1:10" x14ac:dyDescent="0.25">
      <c r="A172" s="13" t="s">
        <v>1373</v>
      </c>
      <c r="B172" s="20" t="s">
        <v>982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f t="shared" si="3"/>
        <v>0</v>
      </c>
    </row>
    <row r="173" spans="1:10" x14ac:dyDescent="0.25">
      <c r="A173" s="13" t="s">
        <v>1374</v>
      </c>
      <c r="B173" s="20" t="s">
        <v>983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f t="shared" si="3"/>
        <v>0</v>
      </c>
    </row>
    <row r="174" spans="1:10" x14ac:dyDescent="0.25">
      <c r="A174" s="13" t="s">
        <v>1375</v>
      </c>
      <c r="B174" s="20" t="s">
        <v>984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f t="shared" si="3"/>
        <v>0</v>
      </c>
    </row>
    <row r="175" spans="1:10" x14ac:dyDescent="0.25">
      <c r="A175" s="13" t="s">
        <v>1376</v>
      </c>
      <c r="B175" s="20" t="s">
        <v>985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f t="shared" si="3"/>
        <v>0</v>
      </c>
    </row>
    <row r="176" spans="1:10" x14ac:dyDescent="0.25">
      <c r="A176" s="13" t="s">
        <v>1377</v>
      </c>
      <c r="B176" s="20" t="s">
        <v>986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f t="shared" si="3"/>
        <v>0</v>
      </c>
    </row>
    <row r="177" spans="1:10" x14ac:dyDescent="0.25">
      <c r="A177" s="13" t="s">
        <v>1378</v>
      </c>
      <c r="B177" s="20" t="s">
        <v>987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f t="shared" si="3"/>
        <v>0</v>
      </c>
    </row>
    <row r="178" spans="1:10" x14ac:dyDescent="0.25">
      <c r="A178" s="13" t="s">
        <v>1379</v>
      </c>
      <c r="B178" s="20" t="s">
        <v>988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f t="shared" si="3"/>
        <v>0</v>
      </c>
    </row>
    <row r="179" spans="1:10" ht="15" customHeight="1" x14ac:dyDescent="0.25">
      <c r="A179" s="43" t="s">
        <v>1561</v>
      </c>
      <c r="B179" s="20" t="s">
        <v>1549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f>'GA023(재무)'!B303</f>
        <v>0</v>
      </c>
      <c r="I179" s="9">
        <v>0</v>
      </c>
      <c r="J179" s="9">
        <f t="shared" si="3"/>
        <v>0</v>
      </c>
    </row>
    <row r="180" spans="1:10" x14ac:dyDescent="0.25">
      <c r="A180" s="13" t="s">
        <v>1380</v>
      </c>
      <c r="B180" s="20" t="s">
        <v>284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f>H181+H187+H220+H229+H254+H251</f>
        <v>0</v>
      </c>
      <c r="I180" s="9">
        <v>0</v>
      </c>
      <c r="J180" s="7">
        <f t="shared" ref="J180:J211" si="4">SUM(C180:I180)</f>
        <v>0</v>
      </c>
    </row>
    <row r="181" spans="1:10" x14ac:dyDescent="0.25">
      <c r="A181" s="13" t="s">
        <v>1381</v>
      </c>
      <c r="B181" s="20" t="s">
        <v>989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f>SUM(H182:H186)</f>
        <v>0</v>
      </c>
      <c r="I181" s="9">
        <v>0</v>
      </c>
      <c r="J181" s="9">
        <f t="shared" si="4"/>
        <v>0</v>
      </c>
    </row>
    <row r="182" spans="1:10" x14ac:dyDescent="0.25">
      <c r="A182" s="13" t="s">
        <v>1382</v>
      </c>
      <c r="B182" s="20" t="s">
        <v>990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f t="shared" si="4"/>
        <v>0</v>
      </c>
    </row>
    <row r="183" spans="1:10" x14ac:dyDescent="0.25">
      <c r="A183" s="13" t="s">
        <v>1383</v>
      </c>
      <c r="B183" s="20" t="s">
        <v>991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f t="shared" si="4"/>
        <v>0</v>
      </c>
    </row>
    <row r="184" spans="1:10" x14ac:dyDescent="0.25">
      <c r="A184" s="13" t="s">
        <v>1384</v>
      </c>
      <c r="B184" s="20" t="s">
        <v>992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f t="shared" si="4"/>
        <v>0</v>
      </c>
    </row>
    <row r="185" spans="1:10" x14ac:dyDescent="0.25">
      <c r="A185" s="13" t="s">
        <v>1385</v>
      </c>
      <c r="B185" s="20" t="s">
        <v>993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f t="shared" si="4"/>
        <v>0</v>
      </c>
    </row>
    <row r="186" spans="1:10" x14ac:dyDescent="0.25">
      <c r="A186" s="13" t="s">
        <v>1386</v>
      </c>
      <c r="B186" s="20" t="s">
        <v>994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f>'GA023(재무)'!B321</f>
        <v>0</v>
      </c>
      <c r="I186" s="9">
        <v>0</v>
      </c>
      <c r="J186" s="9">
        <f t="shared" si="4"/>
        <v>0</v>
      </c>
    </row>
    <row r="187" spans="1:10" x14ac:dyDescent="0.25">
      <c r="A187" s="13" t="s">
        <v>1387</v>
      </c>
      <c r="B187" s="20" t="s">
        <v>995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f t="shared" si="4"/>
        <v>0</v>
      </c>
    </row>
    <row r="188" spans="1:10" x14ac:dyDescent="0.25">
      <c r="A188" s="13" t="s">
        <v>1388</v>
      </c>
      <c r="B188" s="20" t="s">
        <v>890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f t="shared" si="4"/>
        <v>0</v>
      </c>
    </row>
    <row r="189" spans="1:10" x14ac:dyDescent="0.25">
      <c r="A189" s="13" t="s">
        <v>1389</v>
      </c>
      <c r="B189" s="20" t="s">
        <v>891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f t="shared" si="4"/>
        <v>0</v>
      </c>
    </row>
    <row r="190" spans="1:10" x14ac:dyDescent="0.25">
      <c r="A190" s="13" t="s">
        <v>1390</v>
      </c>
      <c r="B190" s="20" t="s">
        <v>996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f t="shared" si="4"/>
        <v>0</v>
      </c>
    </row>
    <row r="191" spans="1:10" x14ac:dyDescent="0.25">
      <c r="A191" s="13" t="s">
        <v>1391</v>
      </c>
      <c r="B191" s="20" t="s">
        <v>997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f t="shared" si="4"/>
        <v>0</v>
      </c>
    </row>
    <row r="192" spans="1:10" x14ac:dyDescent="0.25">
      <c r="A192" s="13" t="s">
        <v>1392</v>
      </c>
      <c r="B192" s="20" t="s">
        <v>998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f t="shared" si="4"/>
        <v>0</v>
      </c>
    </row>
    <row r="193" spans="1:10" x14ac:dyDescent="0.25">
      <c r="A193" s="13" t="s">
        <v>1393</v>
      </c>
      <c r="B193" s="20" t="s">
        <v>999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f t="shared" si="4"/>
        <v>0</v>
      </c>
    </row>
    <row r="194" spans="1:10" x14ac:dyDescent="0.25">
      <c r="A194" s="13" t="s">
        <v>1394</v>
      </c>
      <c r="B194" s="20" t="s">
        <v>1000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f t="shared" si="4"/>
        <v>0</v>
      </c>
    </row>
    <row r="195" spans="1:10" x14ac:dyDescent="0.25">
      <c r="A195" s="13" t="s">
        <v>1395</v>
      </c>
      <c r="B195" s="20" t="s">
        <v>1001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f t="shared" si="4"/>
        <v>0</v>
      </c>
    </row>
    <row r="196" spans="1:10" x14ac:dyDescent="0.25">
      <c r="A196" s="13" t="s">
        <v>1396</v>
      </c>
      <c r="B196" s="20" t="s">
        <v>899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f t="shared" si="4"/>
        <v>0</v>
      </c>
    </row>
    <row r="197" spans="1:10" x14ac:dyDescent="0.25">
      <c r="A197" s="13" t="s">
        <v>1397</v>
      </c>
      <c r="B197" s="20" t="s">
        <v>1002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f t="shared" si="4"/>
        <v>0</v>
      </c>
    </row>
    <row r="198" spans="1:10" x14ac:dyDescent="0.25">
      <c r="A198" s="13" t="s">
        <v>1398</v>
      </c>
      <c r="B198" s="20" t="s">
        <v>1003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f t="shared" si="4"/>
        <v>0</v>
      </c>
    </row>
    <row r="199" spans="1:10" x14ac:dyDescent="0.25">
      <c r="A199" s="13" t="s">
        <v>1399</v>
      </c>
      <c r="B199" s="20" t="s">
        <v>1004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f t="shared" si="4"/>
        <v>0</v>
      </c>
    </row>
    <row r="200" spans="1:10" x14ac:dyDescent="0.25">
      <c r="A200" s="13" t="s">
        <v>1400</v>
      </c>
      <c r="B200" s="20" t="s">
        <v>1005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f t="shared" si="4"/>
        <v>0</v>
      </c>
    </row>
    <row r="201" spans="1:10" x14ac:dyDescent="0.25">
      <c r="A201" s="13" t="s">
        <v>1401</v>
      </c>
      <c r="B201" s="20" t="s">
        <v>1006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f t="shared" si="4"/>
        <v>0</v>
      </c>
    </row>
    <row r="202" spans="1:10" x14ac:dyDescent="0.25">
      <c r="A202" s="13" t="s">
        <v>1402</v>
      </c>
      <c r="B202" s="20" t="s">
        <v>1007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f t="shared" si="4"/>
        <v>0</v>
      </c>
    </row>
    <row r="203" spans="1:10" x14ac:dyDescent="0.25">
      <c r="A203" s="13" t="s">
        <v>1403</v>
      </c>
      <c r="B203" s="20" t="s">
        <v>899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f t="shared" si="4"/>
        <v>0</v>
      </c>
    </row>
    <row r="204" spans="1:10" x14ac:dyDescent="0.25">
      <c r="A204" s="13" t="s">
        <v>1404</v>
      </c>
      <c r="B204" s="20" t="s">
        <v>1008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f t="shared" si="4"/>
        <v>0</v>
      </c>
    </row>
    <row r="205" spans="1:10" x14ac:dyDescent="0.25">
      <c r="A205" s="13" t="s">
        <v>1405</v>
      </c>
      <c r="B205" s="20" t="s">
        <v>1009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f t="shared" si="4"/>
        <v>0</v>
      </c>
    </row>
    <row r="206" spans="1:10" x14ac:dyDescent="0.25">
      <c r="A206" s="13" t="s">
        <v>1406</v>
      </c>
      <c r="B206" s="20" t="s">
        <v>1010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f t="shared" si="4"/>
        <v>0</v>
      </c>
    </row>
    <row r="207" spans="1:10" x14ac:dyDescent="0.25">
      <c r="A207" s="13" t="s">
        <v>1407</v>
      </c>
      <c r="B207" s="20" t="s">
        <v>877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f t="shared" si="4"/>
        <v>0</v>
      </c>
    </row>
    <row r="208" spans="1:10" x14ac:dyDescent="0.25">
      <c r="A208" s="13" t="s">
        <v>1408</v>
      </c>
      <c r="B208" s="20" t="s">
        <v>1011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f t="shared" si="4"/>
        <v>0</v>
      </c>
    </row>
    <row r="209" spans="1:10" x14ac:dyDescent="0.25">
      <c r="A209" s="13" t="s">
        <v>1409</v>
      </c>
      <c r="B209" s="20" t="s">
        <v>1012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f t="shared" si="4"/>
        <v>0</v>
      </c>
    </row>
    <row r="210" spans="1:10" x14ac:dyDescent="0.25">
      <c r="A210" s="13" t="s">
        <v>1410</v>
      </c>
      <c r="B210" s="20" t="s">
        <v>1013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f t="shared" si="4"/>
        <v>0</v>
      </c>
    </row>
    <row r="211" spans="1:10" x14ac:dyDescent="0.25">
      <c r="A211" s="13" t="s">
        <v>1411</v>
      </c>
      <c r="B211" s="20" t="s">
        <v>1014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f t="shared" si="4"/>
        <v>0</v>
      </c>
    </row>
    <row r="212" spans="1:10" x14ac:dyDescent="0.25">
      <c r="A212" s="13" t="s">
        <v>1412</v>
      </c>
      <c r="B212" s="20" t="s">
        <v>1015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f t="shared" ref="J212:J213" si="5">SUM(C212:I212)</f>
        <v>0</v>
      </c>
    </row>
    <row r="213" spans="1:10" x14ac:dyDescent="0.25">
      <c r="A213" s="13" t="s">
        <v>1413</v>
      </c>
      <c r="B213" s="20" t="s">
        <v>1016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f t="shared" si="5"/>
        <v>0</v>
      </c>
    </row>
    <row r="214" spans="1:10" x14ac:dyDescent="0.25">
      <c r="A214" s="13" t="s">
        <v>1414</v>
      </c>
      <c r="B214" s="20" t="s">
        <v>1017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f t="shared" ref="J212:J243" si="6">SUM(C214:I214)</f>
        <v>0</v>
      </c>
    </row>
    <row r="215" spans="1:10" x14ac:dyDescent="0.25">
      <c r="A215" s="13" t="s">
        <v>1415</v>
      </c>
      <c r="B215" s="20" t="s">
        <v>1014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f t="shared" si="6"/>
        <v>0</v>
      </c>
    </row>
    <row r="216" spans="1:10" x14ac:dyDescent="0.25">
      <c r="A216" s="13" t="s">
        <v>1416</v>
      </c>
      <c r="B216" s="20" t="s">
        <v>1018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f t="shared" si="6"/>
        <v>0</v>
      </c>
    </row>
    <row r="217" spans="1:10" x14ac:dyDescent="0.25">
      <c r="A217" s="13" t="s">
        <v>1417</v>
      </c>
      <c r="B217" s="20" t="s">
        <v>1019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f t="shared" si="6"/>
        <v>0</v>
      </c>
    </row>
    <row r="218" spans="1:10" x14ac:dyDescent="0.25">
      <c r="A218" s="13" t="s">
        <v>1418</v>
      </c>
      <c r="B218" s="20" t="s">
        <v>1020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f t="shared" ref="J218" si="7">SUM(C218:I218)</f>
        <v>0</v>
      </c>
    </row>
    <row r="219" spans="1:10" x14ac:dyDescent="0.25">
      <c r="A219" s="13" t="s">
        <v>1419</v>
      </c>
      <c r="B219" s="20" t="s">
        <v>1021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f t="shared" si="6"/>
        <v>0</v>
      </c>
    </row>
    <row r="220" spans="1:10" x14ac:dyDescent="0.25">
      <c r="A220" s="13" t="s">
        <v>1420</v>
      </c>
      <c r="B220" s="20" t="s">
        <v>880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10">
        <v>0</v>
      </c>
      <c r="I220" s="9">
        <v>0</v>
      </c>
      <c r="J220" s="9">
        <f t="shared" si="6"/>
        <v>0</v>
      </c>
    </row>
    <row r="221" spans="1:10" x14ac:dyDescent="0.25">
      <c r="A221" s="13" t="s">
        <v>1421</v>
      </c>
      <c r="B221" s="20" t="s">
        <v>881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10">
        <v>0</v>
      </c>
      <c r="I221" s="9">
        <v>0</v>
      </c>
      <c r="J221" s="9">
        <f t="shared" si="6"/>
        <v>0</v>
      </c>
    </row>
    <row r="222" spans="1:10" x14ac:dyDescent="0.25">
      <c r="A222" s="13" t="s">
        <v>1422</v>
      </c>
      <c r="B222" s="20" t="s">
        <v>882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10">
        <v>0</v>
      </c>
      <c r="I222" s="9">
        <v>0</v>
      </c>
      <c r="J222" s="9">
        <f t="shared" si="6"/>
        <v>0</v>
      </c>
    </row>
    <row r="223" spans="1:10" x14ac:dyDescent="0.25">
      <c r="A223" s="13" t="s">
        <v>1423</v>
      </c>
      <c r="B223" s="20" t="s">
        <v>883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10">
        <v>0</v>
      </c>
      <c r="I223" s="9">
        <v>0</v>
      </c>
      <c r="J223" s="9">
        <f t="shared" si="6"/>
        <v>0</v>
      </c>
    </row>
    <row r="224" spans="1:10" x14ac:dyDescent="0.25">
      <c r="A224" s="13" t="s">
        <v>1424</v>
      </c>
      <c r="B224" s="20" t="s">
        <v>884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10">
        <v>0</v>
      </c>
      <c r="I224" s="9">
        <v>0</v>
      </c>
      <c r="J224" s="9">
        <f t="shared" si="6"/>
        <v>0</v>
      </c>
    </row>
    <row r="225" spans="1:10" x14ac:dyDescent="0.25">
      <c r="A225" s="13" t="s">
        <v>1425</v>
      </c>
      <c r="B225" s="20" t="s">
        <v>885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10">
        <v>0</v>
      </c>
      <c r="I225" s="9">
        <v>0</v>
      </c>
      <c r="J225" s="9">
        <f t="shared" si="6"/>
        <v>0</v>
      </c>
    </row>
    <row r="226" spans="1:10" x14ac:dyDescent="0.25">
      <c r="A226" s="13" t="s">
        <v>1426</v>
      </c>
      <c r="B226" s="20" t="s">
        <v>1022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10">
        <v>0</v>
      </c>
      <c r="I226" s="9">
        <v>0</v>
      </c>
      <c r="J226" s="9">
        <f t="shared" si="6"/>
        <v>0</v>
      </c>
    </row>
    <row r="227" spans="1:10" x14ac:dyDescent="0.25">
      <c r="A227" s="13" t="s">
        <v>1427</v>
      </c>
      <c r="B227" s="20" t="s">
        <v>887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10">
        <v>0</v>
      </c>
      <c r="I227" s="9">
        <v>0</v>
      </c>
      <c r="J227" s="9">
        <f t="shared" si="6"/>
        <v>0</v>
      </c>
    </row>
    <row r="228" spans="1:10" x14ac:dyDescent="0.25">
      <c r="A228" s="13" t="s">
        <v>1428</v>
      </c>
      <c r="B228" s="20" t="s">
        <v>888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10">
        <v>0</v>
      </c>
      <c r="I228" s="9">
        <v>0</v>
      </c>
      <c r="J228" s="9">
        <f t="shared" si="6"/>
        <v>0</v>
      </c>
    </row>
    <row r="229" spans="1:10" x14ac:dyDescent="0.25">
      <c r="A229" s="13" t="s">
        <v>1429</v>
      </c>
      <c r="B229" s="20" t="s">
        <v>1023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10">
        <f>SUM(H230:H250)</f>
        <v>0</v>
      </c>
      <c r="I229" s="9">
        <v>0</v>
      </c>
      <c r="J229" s="9">
        <f t="shared" si="6"/>
        <v>0</v>
      </c>
    </row>
    <row r="230" spans="1:10" x14ac:dyDescent="0.25">
      <c r="A230" s="13" t="s">
        <v>1430</v>
      </c>
      <c r="B230" s="20" t="s">
        <v>890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10">
        <v>0</v>
      </c>
      <c r="I230" s="9">
        <v>0</v>
      </c>
      <c r="J230" s="9">
        <f t="shared" si="6"/>
        <v>0</v>
      </c>
    </row>
    <row r="231" spans="1:10" x14ac:dyDescent="0.25">
      <c r="A231" s="13" t="s">
        <v>1431</v>
      </c>
      <c r="B231" s="20" t="s">
        <v>891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10">
        <v>0</v>
      </c>
      <c r="I231" s="9">
        <v>0</v>
      </c>
      <c r="J231" s="9">
        <f t="shared" si="6"/>
        <v>0</v>
      </c>
    </row>
    <row r="232" spans="1:10" x14ac:dyDescent="0.25">
      <c r="A232" s="13" t="s">
        <v>1432</v>
      </c>
      <c r="B232" s="20" t="s">
        <v>1024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10">
        <v>0</v>
      </c>
      <c r="I232" s="9">
        <v>0</v>
      </c>
      <c r="J232" s="9">
        <f t="shared" si="6"/>
        <v>0</v>
      </c>
    </row>
    <row r="233" spans="1:10" x14ac:dyDescent="0.25">
      <c r="A233" s="13" t="s">
        <v>1433</v>
      </c>
      <c r="B233" s="20" t="s">
        <v>1025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10">
        <v>0</v>
      </c>
      <c r="I233" s="9">
        <v>0</v>
      </c>
      <c r="J233" s="9">
        <f t="shared" si="6"/>
        <v>0</v>
      </c>
    </row>
    <row r="234" spans="1:10" x14ac:dyDescent="0.25">
      <c r="A234" s="13" t="s">
        <v>1434</v>
      </c>
      <c r="B234" s="20" t="s">
        <v>1026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10">
        <f>'GA023(재무)'!B396</f>
        <v>0</v>
      </c>
      <c r="I234" s="9">
        <v>0</v>
      </c>
      <c r="J234" s="9">
        <f t="shared" si="6"/>
        <v>0</v>
      </c>
    </row>
    <row r="235" spans="1:10" x14ac:dyDescent="0.25">
      <c r="A235" s="13" t="s">
        <v>1435</v>
      </c>
      <c r="B235" s="20" t="s">
        <v>1027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10">
        <f>'GA023(재무)'!B397</f>
        <v>0</v>
      </c>
      <c r="I235" s="9">
        <v>0</v>
      </c>
      <c r="J235" s="9">
        <f t="shared" si="6"/>
        <v>0</v>
      </c>
    </row>
    <row r="236" spans="1:10" x14ac:dyDescent="0.25">
      <c r="A236" s="13" t="s">
        <v>1436</v>
      </c>
      <c r="B236" s="20" t="s">
        <v>1028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10">
        <f>'GA023(재무)'!B398</f>
        <v>0</v>
      </c>
      <c r="I236" s="9">
        <v>0</v>
      </c>
      <c r="J236" s="9">
        <f t="shared" si="6"/>
        <v>0</v>
      </c>
    </row>
    <row r="237" spans="1:10" x14ac:dyDescent="0.25">
      <c r="A237" s="13" t="s">
        <v>1437</v>
      </c>
      <c r="B237" s="20" t="s">
        <v>1029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10">
        <v>0</v>
      </c>
      <c r="I237" s="9">
        <v>0</v>
      </c>
      <c r="J237" s="9">
        <f t="shared" si="6"/>
        <v>0</v>
      </c>
    </row>
    <row r="238" spans="1:10" x14ac:dyDescent="0.25">
      <c r="A238" s="13" t="s">
        <v>1438</v>
      </c>
      <c r="B238" s="20" t="s">
        <v>1030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10">
        <v>0</v>
      </c>
      <c r="I238" s="9">
        <v>0</v>
      </c>
      <c r="J238" s="9">
        <f t="shared" si="6"/>
        <v>0</v>
      </c>
    </row>
    <row r="239" spans="1:10" x14ac:dyDescent="0.25">
      <c r="A239" s="13" t="s">
        <v>1439</v>
      </c>
      <c r="B239" s="20" t="s">
        <v>1031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10">
        <f>'GA023(재무)'!B401</f>
        <v>0</v>
      </c>
      <c r="I239" s="9">
        <v>0</v>
      </c>
      <c r="J239" s="9">
        <f t="shared" si="6"/>
        <v>0</v>
      </c>
    </row>
    <row r="240" spans="1:10" x14ac:dyDescent="0.25">
      <c r="A240" s="13" t="s">
        <v>1440</v>
      </c>
      <c r="B240" s="20" t="s">
        <v>1032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10">
        <v>0</v>
      </c>
      <c r="I240" s="9">
        <v>0</v>
      </c>
      <c r="J240" s="9">
        <f t="shared" si="6"/>
        <v>0</v>
      </c>
    </row>
    <row r="241" spans="1:10" x14ac:dyDescent="0.25">
      <c r="A241" s="13" t="s">
        <v>1441</v>
      </c>
      <c r="B241" s="20" t="s">
        <v>1033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10">
        <v>0</v>
      </c>
      <c r="I241" s="9">
        <v>0</v>
      </c>
      <c r="J241" s="9">
        <f t="shared" si="6"/>
        <v>0</v>
      </c>
    </row>
    <row r="242" spans="1:10" x14ac:dyDescent="0.25">
      <c r="A242" s="13" t="s">
        <v>1442</v>
      </c>
      <c r="B242" s="20" t="s">
        <v>1034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10">
        <v>0</v>
      </c>
      <c r="I242" s="9">
        <v>0</v>
      </c>
      <c r="J242" s="9">
        <f t="shared" si="6"/>
        <v>0</v>
      </c>
    </row>
    <row r="243" spans="1:10" x14ac:dyDescent="0.25">
      <c r="A243" s="13" t="s">
        <v>1443</v>
      </c>
      <c r="B243" s="20" t="s">
        <v>1035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10">
        <v>0</v>
      </c>
      <c r="I243" s="9">
        <v>0</v>
      </c>
      <c r="J243" s="9">
        <f t="shared" si="6"/>
        <v>0</v>
      </c>
    </row>
    <row r="244" spans="1:10" x14ac:dyDescent="0.25">
      <c r="A244" s="13" t="s">
        <v>1444</v>
      </c>
      <c r="B244" s="20" t="s">
        <v>1036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10">
        <v>0</v>
      </c>
      <c r="I244" s="9">
        <v>0</v>
      </c>
      <c r="J244" s="9">
        <f t="shared" ref="J244:J255" si="8">SUM(C244:I244)</f>
        <v>0</v>
      </c>
    </row>
    <row r="245" spans="1:10" x14ac:dyDescent="0.25">
      <c r="A245" s="13" t="s">
        <v>1445</v>
      </c>
      <c r="B245" s="20" t="s">
        <v>1037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10">
        <v>0</v>
      </c>
      <c r="I245" s="9">
        <v>0</v>
      </c>
      <c r="J245" s="9">
        <f t="shared" si="8"/>
        <v>0</v>
      </c>
    </row>
    <row r="246" spans="1:10" x14ac:dyDescent="0.25">
      <c r="A246" s="13" t="s">
        <v>1446</v>
      </c>
      <c r="B246" s="20" t="s">
        <v>1038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10">
        <f>'GA023(재무)'!B410</f>
        <v>0</v>
      </c>
      <c r="I246" s="9">
        <v>0</v>
      </c>
      <c r="J246" s="9">
        <f t="shared" si="8"/>
        <v>0</v>
      </c>
    </row>
    <row r="247" spans="1:10" x14ac:dyDescent="0.25">
      <c r="A247" s="13" t="s">
        <v>1447</v>
      </c>
      <c r="B247" s="20" t="s">
        <v>1039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10">
        <f>'GA023(재무)'!B411</f>
        <v>0</v>
      </c>
      <c r="I247" s="9">
        <v>0</v>
      </c>
      <c r="J247" s="9">
        <f t="shared" si="8"/>
        <v>0</v>
      </c>
    </row>
    <row r="248" spans="1:10" x14ac:dyDescent="0.25">
      <c r="A248" s="13" t="s">
        <v>1448</v>
      </c>
      <c r="B248" s="20" t="s">
        <v>1040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10">
        <f>'GA023(재무)'!B412</f>
        <v>0</v>
      </c>
      <c r="I248" s="9">
        <v>0</v>
      </c>
      <c r="J248" s="9">
        <f t="shared" si="8"/>
        <v>0</v>
      </c>
    </row>
    <row r="249" spans="1:10" x14ac:dyDescent="0.25">
      <c r="A249" s="43" t="s">
        <v>1556</v>
      </c>
      <c r="B249" s="20" t="s">
        <v>1550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10">
        <f>'GA023(재무)'!B413</f>
        <v>0</v>
      </c>
      <c r="I249" s="9">
        <v>0</v>
      </c>
      <c r="J249" s="9">
        <f t="shared" si="8"/>
        <v>0</v>
      </c>
    </row>
    <row r="250" spans="1:10" x14ac:dyDescent="0.25">
      <c r="A250" s="13" t="s">
        <v>1449</v>
      </c>
      <c r="B250" s="20" t="s">
        <v>1551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10">
        <f>'GA023(재무)'!B414</f>
        <v>0</v>
      </c>
      <c r="I250" s="9">
        <v>0</v>
      </c>
      <c r="J250" s="9">
        <f t="shared" si="8"/>
        <v>0</v>
      </c>
    </row>
    <row r="251" spans="1:10" x14ac:dyDescent="0.25">
      <c r="A251" s="13" t="s">
        <v>1450</v>
      </c>
      <c r="B251" s="20" t="s">
        <v>1041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10">
        <v>0</v>
      </c>
      <c r="I251" s="9">
        <v>0</v>
      </c>
      <c r="J251" s="9">
        <f t="shared" si="8"/>
        <v>0</v>
      </c>
    </row>
    <row r="252" spans="1:10" x14ac:dyDescent="0.25">
      <c r="A252" s="13" t="s">
        <v>1451</v>
      </c>
      <c r="B252" s="20" t="s">
        <v>1042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10">
        <v>0</v>
      </c>
      <c r="I252" s="9">
        <v>0</v>
      </c>
      <c r="J252" s="9">
        <f t="shared" si="8"/>
        <v>0</v>
      </c>
    </row>
    <row r="253" spans="1:10" x14ac:dyDescent="0.25">
      <c r="A253" s="13" t="s">
        <v>1452</v>
      </c>
      <c r="B253" s="20" t="s">
        <v>950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f t="shared" si="8"/>
        <v>0</v>
      </c>
    </row>
    <row r="254" spans="1:10" x14ac:dyDescent="0.25">
      <c r="A254" s="43" t="s">
        <v>1557</v>
      </c>
      <c r="B254" s="20" t="s">
        <v>1552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10">
        <v>0</v>
      </c>
      <c r="I254" s="9">
        <v>0</v>
      </c>
      <c r="J254" s="9">
        <f t="shared" si="8"/>
        <v>0</v>
      </c>
    </row>
    <row r="255" spans="1:10" x14ac:dyDescent="0.25">
      <c r="A255" s="43" t="s">
        <v>1558</v>
      </c>
      <c r="B255" s="20" t="s">
        <v>1553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10">
        <v>0</v>
      </c>
      <c r="I255" s="9">
        <v>0</v>
      </c>
      <c r="J255" s="9">
        <f t="shared" si="8"/>
        <v>0</v>
      </c>
    </row>
    <row r="256" spans="1:10" x14ac:dyDescent="0.25">
      <c r="A256" s="43" t="s">
        <v>1559</v>
      </c>
      <c r="B256" s="20" t="s">
        <v>1554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10">
        <v>0</v>
      </c>
      <c r="I256" s="9">
        <v>0</v>
      </c>
      <c r="J256" s="9">
        <f t="shared" ref="J256:J257" si="9">SUM(C256:I256)</f>
        <v>0</v>
      </c>
    </row>
    <row r="257" spans="1:10" x14ac:dyDescent="0.25">
      <c r="A257" s="43" t="s">
        <v>1560</v>
      </c>
      <c r="B257" s="20" t="s">
        <v>1555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10">
        <v>0</v>
      </c>
      <c r="I257" s="9">
        <v>0</v>
      </c>
      <c r="J257" s="9">
        <f t="shared" si="9"/>
        <v>0</v>
      </c>
    </row>
  </sheetData>
  <mergeCells count="10">
    <mergeCell ref="B12:B13"/>
    <mergeCell ref="C12:G12"/>
    <mergeCell ref="H12:H13"/>
    <mergeCell ref="I12:I13"/>
    <mergeCell ref="J12:J13"/>
    <mergeCell ref="A3:J3"/>
    <mergeCell ref="A5:J5"/>
    <mergeCell ref="A7:J7"/>
    <mergeCell ref="A8:J8"/>
    <mergeCell ref="A9:J9"/>
  </mergeCells>
  <phoneticPr fontId="2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15"/>
  <sheetViews>
    <sheetView zoomScaleNormal="100" workbookViewId="0">
      <selection activeCell="A3" sqref="A3:E3"/>
    </sheetView>
  </sheetViews>
  <sheetFormatPr defaultColWidth="9" defaultRowHeight="13.5" x14ac:dyDescent="0.25"/>
  <cols>
    <col min="1" max="1" width="9" style="1"/>
    <col min="2" max="2" width="37.375" style="1" bestFit="1" customWidth="1"/>
    <col min="3" max="5" width="20" style="1" bestFit="1" customWidth="1"/>
    <col min="6" max="16384" width="9" style="1"/>
  </cols>
  <sheetData>
    <row r="2" spans="1:5" ht="14.25" thickBot="1" x14ac:dyDescent="0.3"/>
    <row r="3" spans="1:5" ht="15" thickTop="1" thickBot="1" x14ac:dyDescent="0.3">
      <c r="A3" s="61" t="s">
        <v>1562</v>
      </c>
      <c r="B3" s="46"/>
      <c r="C3" s="46"/>
      <c r="D3" s="46"/>
      <c r="E3" s="47"/>
    </row>
    <row r="4" spans="1:5" ht="14.25" thickTop="1" x14ac:dyDescent="0.25"/>
    <row r="5" spans="1:5" x14ac:dyDescent="0.25">
      <c r="A5" s="48"/>
      <c r="B5" s="49"/>
      <c r="C5" s="49"/>
      <c r="D5" s="49"/>
      <c r="E5" s="50"/>
    </row>
    <row r="7" spans="1:5" x14ac:dyDescent="0.25">
      <c r="A7" s="51"/>
      <c r="B7" s="49"/>
      <c r="C7" s="49"/>
      <c r="D7" s="49"/>
      <c r="E7" s="50"/>
    </row>
    <row r="8" spans="1:5" x14ac:dyDescent="0.25">
      <c r="A8" s="48"/>
      <c r="B8" s="49"/>
      <c r="C8" s="49"/>
      <c r="D8" s="49"/>
      <c r="E8" s="50"/>
    </row>
    <row r="9" spans="1:5" x14ac:dyDescent="0.25">
      <c r="A9" s="51"/>
      <c r="B9" s="49"/>
      <c r="C9" s="49"/>
      <c r="D9" s="49"/>
      <c r="E9" s="50"/>
    </row>
    <row r="11" spans="1:5" x14ac:dyDescent="0.25">
      <c r="A11" s="13"/>
      <c r="B11" s="13"/>
      <c r="C11" s="13" t="s">
        <v>1043</v>
      </c>
      <c r="D11" s="13" t="s">
        <v>1044</v>
      </c>
      <c r="E11" s="13" t="s">
        <v>1045</v>
      </c>
    </row>
    <row r="12" spans="1:5" x14ac:dyDescent="0.25">
      <c r="A12" s="13"/>
      <c r="B12" s="5" t="s">
        <v>1</v>
      </c>
      <c r="C12" s="14" t="s">
        <v>1046</v>
      </c>
      <c r="D12" s="15" t="s">
        <v>1461</v>
      </c>
      <c r="E12" s="22" t="s">
        <v>1465</v>
      </c>
    </row>
    <row r="13" spans="1:5" x14ac:dyDescent="0.25">
      <c r="A13" s="13" t="s">
        <v>1043</v>
      </c>
      <c r="B13" s="20" t="s">
        <v>1047</v>
      </c>
      <c r="C13" s="9">
        <v>3403279526</v>
      </c>
      <c r="D13" s="9">
        <v>3312916231</v>
      </c>
      <c r="E13" s="9">
        <f>D13-C13</f>
        <v>-90363295</v>
      </c>
    </row>
    <row r="14" spans="1:5" x14ac:dyDescent="0.25">
      <c r="A14" s="13" t="s">
        <v>1048</v>
      </c>
      <c r="B14" s="20" t="s">
        <v>1049</v>
      </c>
      <c r="C14" s="9">
        <v>52058612</v>
      </c>
      <c r="D14" s="9">
        <v>25382713</v>
      </c>
      <c r="E14" s="9">
        <f>D14-C14</f>
        <v>-26675899</v>
      </c>
    </row>
    <row r="15" spans="1:5" x14ac:dyDescent="0.25">
      <c r="A15" s="13" t="s">
        <v>1050</v>
      </c>
      <c r="B15" s="20" t="s">
        <v>1051</v>
      </c>
      <c r="C15" s="23">
        <f t="shared" ref="C15:D15" si="0">C13/C14</f>
        <v>65.373996640555845</v>
      </c>
      <c r="D15" s="23">
        <f t="shared" si="0"/>
        <v>130.51860260169983</v>
      </c>
      <c r="E15" s="23">
        <f>D15-C15</f>
        <v>65.144605961143981</v>
      </c>
    </row>
  </sheetData>
  <mergeCells count="5">
    <mergeCell ref="A3:E3"/>
    <mergeCell ref="A5:E5"/>
    <mergeCell ref="A7:E7"/>
    <mergeCell ref="A8:E8"/>
    <mergeCell ref="A9:E9"/>
  </mergeCells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89"/>
  <sheetViews>
    <sheetView workbookViewId="0">
      <pane xSplit="2" ySplit="12" topLeftCell="C46" activePane="bottomRight" state="frozen"/>
      <selection activeCell="A7" sqref="A7"/>
      <selection pane="topRight" activeCell="A7" sqref="A7"/>
      <selection pane="bottomLeft" activeCell="A7" sqref="A7"/>
      <selection pane="bottomRight" activeCell="G53" sqref="G53"/>
    </sheetView>
  </sheetViews>
  <sheetFormatPr defaultColWidth="9" defaultRowHeight="13.5" x14ac:dyDescent="0.25"/>
  <cols>
    <col min="1" max="1" width="9" style="1"/>
    <col min="2" max="2" width="37.5" style="1" bestFit="1" customWidth="1"/>
    <col min="3" max="5" width="20" style="1" bestFit="1" customWidth="1"/>
    <col min="6" max="16384" width="9" style="1"/>
  </cols>
  <sheetData>
    <row r="2" spans="1:6" ht="13.5" customHeight="1" thickBot="1" x14ac:dyDescent="0.3"/>
    <row r="3" spans="1:6" ht="24.95" customHeight="1" thickTop="1" thickBot="1" x14ac:dyDescent="0.3">
      <c r="A3" s="45" t="s">
        <v>1052</v>
      </c>
      <c r="B3" s="46"/>
      <c r="C3" s="46"/>
      <c r="D3" s="46"/>
      <c r="E3" s="47"/>
    </row>
    <row r="4" spans="1:6" ht="13.5" customHeight="1" thickTop="1" x14ac:dyDescent="0.25"/>
    <row r="5" spans="1:6" x14ac:dyDescent="0.25">
      <c r="A5" s="48"/>
      <c r="B5" s="49"/>
      <c r="C5" s="49"/>
      <c r="D5" s="49"/>
      <c r="E5" s="50"/>
    </row>
    <row r="7" spans="1:6" x14ac:dyDescent="0.25">
      <c r="A7" s="51"/>
      <c r="B7" s="49"/>
      <c r="C7" s="49"/>
      <c r="D7" s="49"/>
      <c r="E7" s="50"/>
    </row>
    <row r="8" spans="1:6" x14ac:dyDescent="0.25">
      <c r="A8" s="48"/>
      <c r="B8" s="49"/>
      <c r="C8" s="49"/>
      <c r="D8" s="49"/>
      <c r="E8" s="50"/>
    </row>
    <row r="9" spans="1:6" x14ac:dyDescent="0.25">
      <c r="A9" s="51"/>
      <c r="B9" s="49"/>
      <c r="C9" s="49"/>
      <c r="D9" s="49"/>
      <c r="E9" s="50"/>
    </row>
    <row r="11" spans="1:6" x14ac:dyDescent="0.25">
      <c r="A11" s="13"/>
      <c r="B11" s="13"/>
      <c r="C11" s="13" t="s">
        <v>1053</v>
      </c>
      <c r="D11" s="13" t="s">
        <v>1054</v>
      </c>
      <c r="E11" s="13" t="s">
        <v>1045</v>
      </c>
    </row>
    <row r="12" spans="1:6" x14ac:dyDescent="0.25">
      <c r="A12" s="13"/>
      <c r="B12" s="5" t="s">
        <v>1</v>
      </c>
      <c r="C12" s="14" t="s">
        <v>1055</v>
      </c>
      <c r="D12" s="15" t="s">
        <v>1462</v>
      </c>
      <c r="E12" s="5" t="s">
        <v>1056</v>
      </c>
    </row>
    <row r="13" spans="1:6" s="19" customFormat="1" x14ac:dyDescent="0.25">
      <c r="A13" s="16" t="s">
        <v>1057</v>
      </c>
      <c r="B13" s="17" t="s">
        <v>1058</v>
      </c>
      <c r="C13" s="7">
        <f>SUM(C14:C51)</f>
        <v>3948922</v>
      </c>
      <c r="D13" s="7">
        <f>SUM(D14:D51)</f>
        <v>0</v>
      </c>
      <c r="E13" s="7">
        <f>SUM(E14:E51)</f>
        <v>0</v>
      </c>
      <c r="F13" s="18">
        <v>1</v>
      </c>
    </row>
    <row r="14" spans="1:6" x14ac:dyDescent="0.25">
      <c r="A14" s="13" t="s">
        <v>1060</v>
      </c>
      <c r="B14" s="20" t="s">
        <v>1061</v>
      </c>
      <c r="C14" s="9">
        <v>0</v>
      </c>
      <c r="D14" s="9">
        <v>0</v>
      </c>
      <c r="E14" s="21">
        <v>0</v>
      </c>
    </row>
    <row r="15" spans="1:6" x14ac:dyDescent="0.25">
      <c r="A15" s="13" t="s">
        <v>1062</v>
      </c>
      <c r="B15" s="20" t="s">
        <v>1063</v>
      </c>
      <c r="C15" s="9">
        <v>0</v>
      </c>
      <c r="D15" s="9">
        <v>0</v>
      </c>
      <c r="E15" s="21">
        <v>0</v>
      </c>
    </row>
    <row r="16" spans="1:6" x14ac:dyDescent="0.25">
      <c r="A16" s="13" t="s">
        <v>1064</v>
      </c>
      <c r="B16" s="20" t="s">
        <v>1065</v>
      </c>
      <c r="C16" s="9">
        <v>0</v>
      </c>
      <c r="D16" s="9">
        <v>0</v>
      </c>
      <c r="E16" s="21">
        <v>0</v>
      </c>
    </row>
    <row r="17" spans="1:5" x14ac:dyDescent="0.25">
      <c r="A17" s="13" t="s">
        <v>1066</v>
      </c>
      <c r="B17" s="20" t="s">
        <v>1067</v>
      </c>
      <c r="C17" s="9">
        <v>0</v>
      </c>
      <c r="D17" s="9">
        <v>0</v>
      </c>
      <c r="E17" s="21">
        <v>0</v>
      </c>
    </row>
    <row r="18" spans="1:5" x14ac:dyDescent="0.25">
      <c r="A18" s="13" t="s">
        <v>1068</v>
      </c>
      <c r="B18" s="20" t="s">
        <v>1069</v>
      </c>
      <c r="C18" s="9">
        <v>0</v>
      </c>
      <c r="D18" s="9">
        <v>0</v>
      </c>
      <c r="E18" s="21">
        <v>0</v>
      </c>
    </row>
    <row r="19" spans="1:5" x14ac:dyDescent="0.25">
      <c r="A19" s="13" t="s">
        <v>1070</v>
      </c>
      <c r="B19" s="20" t="s">
        <v>1071</v>
      </c>
      <c r="C19" s="9">
        <v>0</v>
      </c>
      <c r="D19" s="9">
        <v>0</v>
      </c>
      <c r="E19" s="21">
        <v>0</v>
      </c>
    </row>
    <row r="20" spans="1:5" x14ac:dyDescent="0.25">
      <c r="A20" s="13" t="s">
        <v>1072</v>
      </c>
      <c r="B20" s="20" t="s">
        <v>1073</v>
      </c>
      <c r="C20" s="9">
        <v>0</v>
      </c>
      <c r="D20" s="9">
        <v>0</v>
      </c>
      <c r="E20" s="21">
        <v>0</v>
      </c>
    </row>
    <row r="21" spans="1:5" x14ac:dyDescent="0.25">
      <c r="A21" s="13" t="s">
        <v>1074</v>
      </c>
      <c r="B21" s="20" t="s">
        <v>1075</v>
      </c>
      <c r="C21" s="9">
        <v>0</v>
      </c>
      <c r="D21" s="9">
        <v>0</v>
      </c>
      <c r="E21" s="21">
        <v>0</v>
      </c>
    </row>
    <row r="22" spans="1:5" x14ac:dyDescent="0.25">
      <c r="A22" s="13" t="s">
        <v>1076</v>
      </c>
      <c r="B22" s="20" t="s">
        <v>1077</v>
      </c>
      <c r="C22" s="9">
        <v>0</v>
      </c>
      <c r="D22" s="9">
        <v>0</v>
      </c>
      <c r="E22" s="21">
        <v>0</v>
      </c>
    </row>
    <row r="23" spans="1:5" x14ac:dyDescent="0.25">
      <c r="A23" s="13" t="s">
        <v>1078</v>
      </c>
      <c r="B23" s="20" t="s">
        <v>1079</v>
      </c>
      <c r="C23" s="9">
        <v>0</v>
      </c>
      <c r="D23" s="9">
        <v>0</v>
      </c>
      <c r="E23" s="21">
        <v>0</v>
      </c>
    </row>
    <row r="24" spans="1:5" x14ac:dyDescent="0.25">
      <c r="A24" s="13" t="s">
        <v>1080</v>
      </c>
      <c r="B24" s="20" t="s">
        <v>1081</v>
      </c>
      <c r="C24" s="9">
        <v>0</v>
      </c>
      <c r="D24" s="9">
        <v>0</v>
      </c>
      <c r="E24" s="21">
        <v>0</v>
      </c>
    </row>
    <row r="25" spans="1:5" x14ac:dyDescent="0.25">
      <c r="A25" s="13" t="s">
        <v>1082</v>
      </c>
      <c r="B25" s="20" t="s">
        <v>1083</v>
      </c>
      <c r="C25" s="9">
        <v>0</v>
      </c>
      <c r="D25" s="9">
        <v>0</v>
      </c>
      <c r="E25" s="21">
        <v>0</v>
      </c>
    </row>
    <row r="26" spans="1:5" x14ac:dyDescent="0.25">
      <c r="A26" s="13" t="s">
        <v>1084</v>
      </c>
      <c r="B26" s="20" t="s">
        <v>1085</v>
      </c>
      <c r="C26" s="9">
        <v>0</v>
      </c>
      <c r="D26" s="9">
        <v>0</v>
      </c>
      <c r="E26" s="21">
        <v>0</v>
      </c>
    </row>
    <row r="27" spans="1:5" x14ac:dyDescent="0.25">
      <c r="A27" s="13" t="s">
        <v>1086</v>
      </c>
      <c r="B27" s="20" t="s">
        <v>1087</v>
      </c>
      <c r="C27" s="9">
        <v>0</v>
      </c>
      <c r="D27" s="9">
        <v>0</v>
      </c>
      <c r="E27" s="21">
        <v>0</v>
      </c>
    </row>
    <row r="28" spans="1:5" x14ac:dyDescent="0.25">
      <c r="A28" s="13" t="s">
        <v>1088</v>
      </c>
      <c r="B28" s="20" t="s">
        <v>1089</v>
      </c>
      <c r="C28" s="9">
        <v>0</v>
      </c>
      <c r="D28" s="9">
        <v>0</v>
      </c>
      <c r="E28" s="21">
        <v>0</v>
      </c>
    </row>
    <row r="29" spans="1:5" x14ac:dyDescent="0.25">
      <c r="A29" s="13" t="s">
        <v>1090</v>
      </c>
      <c r="B29" s="20" t="s">
        <v>1091</v>
      </c>
      <c r="C29" s="9">
        <v>0</v>
      </c>
      <c r="D29" s="9">
        <v>0</v>
      </c>
      <c r="E29" s="21">
        <v>0</v>
      </c>
    </row>
    <row r="30" spans="1:5" x14ac:dyDescent="0.25">
      <c r="A30" s="13" t="s">
        <v>1092</v>
      </c>
      <c r="B30" s="20" t="s">
        <v>1093</v>
      </c>
      <c r="C30" s="9">
        <v>0</v>
      </c>
      <c r="D30" s="9">
        <v>0</v>
      </c>
      <c r="E30" s="21">
        <v>0</v>
      </c>
    </row>
    <row r="31" spans="1:5" x14ac:dyDescent="0.25">
      <c r="A31" s="13" t="s">
        <v>1094</v>
      </c>
      <c r="B31" s="20" t="s">
        <v>1095</v>
      </c>
      <c r="C31" s="9">
        <v>0</v>
      </c>
      <c r="D31" s="9">
        <v>0</v>
      </c>
      <c r="E31" s="21">
        <v>0</v>
      </c>
    </row>
    <row r="32" spans="1:5" x14ac:dyDescent="0.25">
      <c r="A32" s="13" t="s">
        <v>1096</v>
      </c>
      <c r="B32" s="20" t="s">
        <v>1097</v>
      </c>
      <c r="C32" s="9">
        <v>0</v>
      </c>
      <c r="D32" s="9">
        <v>0</v>
      </c>
      <c r="E32" s="21">
        <v>0</v>
      </c>
    </row>
    <row r="33" spans="1:5" x14ac:dyDescent="0.25">
      <c r="A33" s="13" t="s">
        <v>1098</v>
      </c>
      <c r="B33" s="20" t="s">
        <v>1099</v>
      </c>
      <c r="C33" s="9">
        <v>0</v>
      </c>
      <c r="D33" s="9">
        <v>0</v>
      </c>
      <c r="E33" s="21">
        <v>0</v>
      </c>
    </row>
    <row r="34" spans="1:5" x14ac:dyDescent="0.25">
      <c r="A34" s="13" t="s">
        <v>1100</v>
      </c>
      <c r="B34" s="20" t="s">
        <v>1101</v>
      </c>
      <c r="C34" s="9">
        <v>0</v>
      </c>
      <c r="D34" s="9">
        <v>0</v>
      </c>
      <c r="E34" s="21">
        <v>0</v>
      </c>
    </row>
    <row r="35" spans="1:5" x14ac:dyDescent="0.25">
      <c r="A35" s="13" t="s">
        <v>1102</v>
      </c>
      <c r="B35" s="20" t="s">
        <v>1103</v>
      </c>
      <c r="C35" s="9">
        <v>0</v>
      </c>
      <c r="D35" s="9">
        <v>0</v>
      </c>
      <c r="E35" s="21">
        <v>0</v>
      </c>
    </row>
    <row r="36" spans="1:5" x14ac:dyDescent="0.25">
      <c r="A36" s="13" t="s">
        <v>1104</v>
      </c>
      <c r="B36" s="20" t="s">
        <v>1105</v>
      </c>
      <c r="C36" s="9">
        <v>0</v>
      </c>
      <c r="D36" s="9">
        <v>0</v>
      </c>
      <c r="E36" s="21">
        <v>0</v>
      </c>
    </row>
    <row r="37" spans="1:5" x14ac:dyDescent="0.25">
      <c r="A37" s="13" t="s">
        <v>1106</v>
      </c>
      <c r="B37" s="20" t="s">
        <v>1107</v>
      </c>
      <c r="C37" s="9">
        <v>0</v>
      </c>
      <c r="D37" s="9">
        <v>0</v>
      </c>
      <c r="E37" s="21">
        <v>0</v>
      </c>
    </row>
    <row r="38" spans="1:5" x14ac:dyDescent="0.25">
      <c r="A38" s="13" t="s">
        <v>1108</v>
      </c>
      <c r="B38" s="20" t="s">
        <v>1109</v>
      </c>
      <c r="C38" s="9">
        <v>0</v>
      </c>
      <c r="D38" s="9">
        <v>0</v>
      </c>
      <c r="E38" s="21">
        <v>0</v>
      </c>
    </row>
    <row r="39" spans="1:5" x14ac:dyDescent="0.25">
      <c r="A39" s="13" t="s">
        <v>1110</v>
      </c>
      <c r="B39" s="20" t="s">
        <v>1111</v>
      </c>
      <c r="C39" s="9">
        <v>0</v>
      </c>
      <c r="D39" s="9">
        <v>0</v>
      </c>
      <c r="E39" s="21">
        <v>0</v>
      </c>
    </row>
    <row r="40" spans="1:5" x14ac:dyDescent="0.25">
      <c r="A40" s="13" t="s">
        <v>1112</v>
      </c>
      <c r="B40" s="20" t="s">
        <v>1113</v>
      </c>
      <c r="C40" s="9">
        <v>0</v>
      </c>
      <c r="D40" s="9">
        <v>0</v>
      </c>
      <c r="E40" s="21">
        <v>0</v>
      </c>
    </row>
    <row r="41" spans="1:5" x14ac:dyDescent="0.25">
      <c r="A41" s="13" t="s">
        <v>1114</v>
      </c>
      <c r="B41" s="20" t="s">
        <v>1115</v>
      </c>
      <c r="C41" s="9">
        <v>0</v>
      </c>
      <c r="D41" s="9">
        <v>0</v>
      </c>
      <c r="E41" s="21">
        <v>0</v>
      </c>
    </row>
    <row r="42" spans="1:5" x14ac:dyDescent="0.25">
      <c r="A42" s="13" t="s">
        <v>1116</v>
      </c>
      <c r="B42" s="20" t="s">
        <v>1117</v>
      </c>
      <c r="C42" s="9">
        <v>0</v>
      </c>
      <c r="D42" s="9">
        <v>0</v>
      </c>
      <c r="E42" s="21">
        <v>0</v>
      </c>
    </row>
    <row r="43" spans="1:5" x14ac:dyDescent="0.25">
      <c r="A43" s="13" t="s">
        <v>1118</v>
      </c>
      <c r="B43" s="20" t="s">
        <v>1119</v>
      </c>
      <c r="C43" s="9">
        <v>0</v>
      </c>
      <c r="D43" s="9">
        <v>0</v>
      </c>
      <c r="E43" s="21">
        <v>0</v>
      </c>
    </row>
    <row r="44" spans="1:5" x14ac:dyDescent="0.25">
      <c r="A44" s="13" t="s">
        <v>1120</v>
      </c>
      <c r="B44" s="20" t="s">
        <v>1121</v>
      </c>
      <c r="C44" s="9">
        <v>0</v>
      </c>
      <c r="D44" s="9">
        <v>0</v>
      </c>
      <c r="E44" s="21">
        <v>0</v>
      </c>
    </row>
    <row r="45" spans="1:5" x14ac:dyDescent="0.25">
      <c r="A45" s="13" t="s">
        <v>1122</v>
      </c>
      <c r="B45" s="20" t="s">
        <v>1123</v>
      </c>
      <c r="C45" s="9">
        <v>0</v>
      </c>
      <c r="D45" s="9">
        <v>0</v>
      </c>
      <c r="E45" s="21">
        <v>0</v>
      </c>
    </row>
    <row r="46" spans="1:5" x14ac:dyDescent="0.25">
      <c r="A46" s="13" t="s">
        <v>1124</v>
      </c>
      <c r="B46" s="20" t="s">
        <v>1125</v>
      </c>
      <c r="C46" s="9">
        <v>0</v>
      </c>
      <c r="D46" s="9">
        <v>0</v>
      </c>
      <c r="E46" s="21">
        <v>0</v>
      </c>
    </row>
    <row r="47" spans="1:5" x14ac:dyDescent="0.25">
      <c r="A47" s="13" t="s">
        <v>1126</v>
      </c>
      <c r="B47" s="20" t="s">
        <v>1127</v>
      </c>
      <c r="C47" s="9">
        <v>0</v>
      </c>
      <c r="D47" s="9">
        <v>0</v>
      </c>
      <c r="E47" s="21">
        <v>0</v>
      </c>
    </row>
    <row r="48" spans="1:5" x14ac:dyDescent="0.25">
      <c r="A48" s="13" t="s">
        <v>1128</v>
      </c>
      <c r="B48" s="20" t="s">
        <v>1129</v>
      </c>
      <c r="C48" s="9">
        <v>0</v>
      </c>
      <c r="D48" s="9">
        <v>0</v>
      </c>
      <c r="E48" s="21">
        <v>0</v>
      </c>
    </row>
    <row r="49" spans="1:6" x14ac:dyDescent="0.25">
      <c r="A49" s="13" t="s">
        <v>1130</v>
      </c>
      <c r="B49" s="20" t="s">
        <v>1131</v>
      </c>
      <c r="C49" s="9">
        <v>3948922</v>
      </c>
      <c r="D49" s="9">
        <f>'GA023(재무)'!B398</f>
        <v>0</v>
      </c>
      <c r="E49" s="21">
        <v>0</v>
      </c>
      <c r="F49" s="11">
        <v>1</v>
      </c>
    </row>
    <row r="50" spans="1:6" x14ac:dyDescent="0.25">
      <c r="A50" s="13" t="s">
        <v>1132</v>
      </c>
      <c r="B50" s="20" t="s">
        <v>1133</v>
      </c>
      <c r="C50" s="9">
        <v>0</v>
      </c>
      <c r="D50" s="9">
        <v>0</v>
      </c>
      <c r="E50" s="21">
        <v>0</v>
      </c>
    </row>
    <row r="51" spans="1:6" x14ac:dyDescent="0.25">
      <c r="A51" s="13" t="s">
        <v>1134</v>
      </c>
      <c r="B51" s="20" t="s">
        <v>1135</v>
      </c>
      <c r="C51" s="9">
        <v>0</v>
      </c>
      <c r="D51" s="9">
        <f>'GA023(재무)'!B422</f>
        <v>0</v>
      </c>
      <c r="E51" s="21">
        <v>0</v>
      </c>
    </row>
    <row r="52" spans="1:6" s="19" customFormat="1" x14ac:dyDescent="0.25">
      <c r="A52" s="16" t="s">
        <v>1136</v>
      </c>
      <c r="B52" s="17" t="s">
        <v>1137</v>
      </c>
      <c r="C52" s="7">
        <f>SUM(C53:C89)</f>
        <v>598221044</v>
      </c>
      <c r="D52" s="7">
        <f>SUM(D53:D89)</f>
        <v>0</v>
      </c>
      <c r="E52" s="7">
        <f>SUM(E53:E89)</f>
        <v>0</v>
      </c>
      <c r="F52" s="18">
        <v>1</v>
      </c>
    </row>
    <row r="53" spans="1:6" x14ac:dyDescent="0.25">
      <c r="A53" s="13" t="s">
        <v>1138</v>
      </c>
      <c r="B53" s="20" t="s">
        <v>1139</v>
      </c>
      <c r="C53" s="9">
        <v>597695989</v>
      </c>
      <c r="D53" s="9">
        <f>'GA023(재무)'!B17</f>
        <v>0</v>
      </c>
      <c r="E53" s="21">
        <v>0</v>
      </c>
      <c r="F53" s="11">
        <v>1</v>
      </c>
    </row>
    <row r="54" spans="1:6" x14ac:dyDescent="0.25">
      <c r="A54" s="13" t="s">
        <v>1140</v>
      </c>
      <c r="B54" s="20" t="s">
        <v>1141</v>
      </c>
      <c r="C54" s="9">
        <v>0</v>
      </c>
      <c r="D54" s="9">
        <v>0</v>
      </c>
      <c r="E54" s="21">
        <v>0</v>
      </c>
    </row>
    <row r="55" spans="1:6" x14ac:dyDescent="0.25">
      <c r="A55" s="13" t="s">
        <v>1142</v>
      </c>
      <c r="B55" s="20" t="s">
        <v>1143</v>
      </c>
      <c r="C55" s="9">
        <v>0</v>
      </c>
      <c r="D55" s="9">
        <v>0</v>
      </c>
      <c r="E55" s="21">
        <v>0</v>
      </c>
    </row>
    <row r="56" spans="1:6" x14ac:dyDescent="0.25">
      <c r="A56" s="13" t="s">
        <v>1144</v>
      </c>
      <c r="B56" s="20" t="s">
        <v>1145</v>
      </c>
      <c r="C56" s="9">
        <v>0</v>
      </c>
      <c r="D56" s="9">
        <v>0</v>
      </c>
      <c r="E56" s="21">
        <v>0</v>
      </c>
    </row>
    <row r="57" spans="1:6" x14ac:dyDescent="0.25">
      <c r="A57" s="13" t="s">
        <v>1146</v>
      </c>
      <c r="B57" s="20" t="s">
        <v>1147</v>
      </c>
      <c r="C57" s="9">
        <v>0</v>
      </c>
      <c r="D57" s="9">
        <v>0</v>
      </c>
      <c r="E57" s="21">
        <v>0</v>
      </c>
    </row>
    <row r="58" spans="1:6" x14ac:dyDescent="0.25">
      <c r="A58" s="13" t="s">
        <v>1148</v>
      </c>
      <c r="B58" s="20" t="s">
        <v>1149</v>
      </c>
      <c r="C58" s="9">
        <v>0</v>
      </c>
      <c r="D58" s="9">
        <v>0</v>
      </c>
      <c r="E58" s="21">
        <v>0</v>
      </c>
    </row>
    <row r="59" spans="1:6" x14ac:dyDescent="0.25">
      <c r="A59" s="13" t="s">
        <v>1150</v>
      </c>
      <c r="B59" s="20" t="s">
        <v>1151</v>
      </c>
      <c r="C59" s="9">
        <v>0</v>
      </c>
      <c r="D59" s="9">
        <v>0</v>
      </c>
      <c r="E59" s="21">
        <v>0</v>
      </c>
    </row>
    <row r="60" spans="1:6" x14ac:dyDescent="0.25">
      <c r="A60" s="13" t="s">
        <v>1152</v>
      </c>
      <c r="B60" s="20" t="s">
        <v>1153</v>
      </c>
      <c r="C60" s="9">
        <v>0</v>
      </c>
      <c r="D60" s="9">
        <v>0</v>
      </c>
      <c r="E60" s="21">
        <v>0</v>
      </c>
    </row>
    <row r="61" spans="1:6" x14ac:dyDescent="0.25">
      <c r="A61" s="13" t="s">
        <v>1154</v>
      </c>
      <c r="B61" s="20" t="s">
        <v>1155</v>
      </c>
      <c r="C61" s="9">
        <v>0</v>
      </c>
      <c r="D61" s="9">
        <v>0</v>
      </c>
      <c r="E61" s="21">
        <v>0</v>
      </c>
    </row>
    <row r="62" spans="1:6" x14ac:dyDescent="0.25">
      <c r="A62" s="13" t="s">
        <v>1156</v>
      </c>
      <c r="B62" s="20" t="s">
        <v>1157</v>
      </c>
      <c r="C62" s="9">
        <v>0</v>
      </c>
      <c r="D62" s="9">
        <v>0</v>
      </c>
      <c r="E62" s="21">
        <v>0</v>
      </c>
    </row>
    <row r="63" spans="1:6" x14ac:dyDescent="0.25">
      <c r="A63" s="13" t="s">
        <v>1158</v>
      </c>
      <c r="B63" s="20" t="s">
        <v>1159</v>
      </c>
      <c r="C63" s="9">
        <v>0</v>
      </c>
      <c r="D63" s="9">
        <v>0</v>
      </c>
      <c r="E63" s="21">
        <v>0</v>
      </c>
    </row>
    <row r="64" spans="1:6" x14ac:dyDescent="0.25">
      <c r="A64" s="13" t="s">
        <v>1160</v>
      </c>
      <c r="B64" s="20" t="s">
        <v>1161</v>
      </c>
      <c r="C64" s="9">
        <v>0</v>
      </c>
      <c r="D64" s="9">
        <v>0</v>
      </c>
      <c r="E64" s="21">
        <v>0</v>
      </c>
    </row>
    <row r="65" spans="1:5" x14ac:dyDescent="0.25">
      <c r="A65" s="13" t="s">
        <v>1162</v>
      </c>
      <c r="B65" s="20" t="s">
        <v>1163</v>
      </c>
      <c r="C65" s="9">
        <v>0</v>
      </c>
      <c r="D65" s="9">
        <v>0</v>
      </c>
      <c r="E65" s="21">
        <v>0</v>
      </c>
    </row>
    <row r="66" spans="1:5" x14ac:dyDescent="0.25">
      <c r="A66" s="13" t="s">
        <v>1164</v>
      </c>
      <c r="B66" s="20" t="s">
        <v>1165</v>
      </c>
      <c r="C66" s="9">
        <v>0</v>
      </c>
      <c r="D66" s="9">
        <v>0</v>
      </c>
      <c r="E66" s="21">
        <v>0</v>
      </c>
    </row>
    <row r="67" spans="1:5" x14ac:dyDescent="0.25">
      <c r="A67" s="13" t="s">
        <v>1166</v>
      </c>
      <c r="B67" s="20" t="s">
        <v>1151</v>
      </c>
      <c r="C67" s="9">
        <v>0</v>
      </c>
      <c r="D67" s="9">
        <v>0</v>
      </c>
      <c r="E67" s="21">
        <v>0</v>
      </c>
    </row>
    <row r="68" spans="1:5" x14ac:dyDescent="0.25">
      <c r="A68" s="13" t="s">
        <v>1167</v>
      </c>
      <c r="B68" s="20" t="s">
        <v>1153</v>
      </c>
      <c r="C68" s="9">
        <v>0</v>
      </c>
      <c r="D68" s="9">
        <v>0</v>
      </c>
      <c r="E68" s="21">
        <v>0</v>
      </c>
    </row>
    <row r="69" spans="1:5" x14ac:dyDescent="0.25">
      <c r="A69" s="13" t="s">
        <v>1168</v>
      </c>
      <c r="B69" s="20" t="s">
        <v>1155</v>
      </c>
      <c r="C69" s="9">
        <v>0</v>
      </c>
      <c r="D69" s="9">
        <v>0</v>
      </c>
      <c r="E69" s="21">
        <v>0</v>
      </c>
    </row>
    <row r="70" spans="1:5" x14ac:dyDescent="0.25">
      <c r="A70" s="13" t="s">
        <v>1169</v>
      </c>
      <c r="B70" s="20" t="s">
        <v>1157</v>
      </c>
      <c r="C70" s="9">
        <v>0</v>
      </c>
      <c r="D70" s="9">
        <v>0</v>
      </c>
      <c r="E70" s="21">
        <v>0</v>
      </c>
    </row>
    <row r="71" spans="1:5" x14ac:dyDescent="0.25">
      <c r="A71" s="13" t="s">
        <v>1170</v>
      </c>
      <c r="B71" s="20" t="s">
        <v>1159</v>
      </c>
      <c r="C71" s="9">
        <v>0</v>
      </c>
      <c r="D71" s="9">
        <v>0</v>
      </c>
      <c r="E71" s="21">
        <v>0</v>
      </c>
    </row>
    <row r="72" spans="1:5" x14ac:dyDescent="0.25">
      <c r="A72" s="13" t="s">
        <v>1171</v>
      </c>
      <c r="B72" s="20" t="s">
        <v>1161</v>
      </c>
      <c r="C72" s="9">
        <v>0</v>
      </c>
      <c r="D72" s="9">
        <v>0</v>
      </c>
      <c r="E72" s="21">
        <v>0</v>
      </c>
    </row>
    <row r="73" spans="1:5" x14ac:dyDescent="0.25">
      <c r="A73" s="13" t="s">
        <v>1172</v>
      </c>
      <c r="B73" s="20" t="s">
        <v>1173</v>
      </c>
      <c r="C73" s="9">
        <v>0</v>
      </c>
      <c r="D73" s="9">
        <v>0</v>
      </c>
      <c r="E73" s="21">
        <v>0</v>
      </c>
    </row>
    <row r="74" spans="1:5" x14ac:dyDescent="0.25">
      <c r="A74" s="13" t="s">
        <v>1174</v>
      </c>
      <c r="B74" s="20" t="s">
        <v>1175</v>
      </c>
      <c r="C74" s="9">
        <v>0</v>
      </c>
      <c r="D74" s="9">
        <v>0</v>
      </c>
      <c r="E74" s="21">
        <v>0</v>
      </c>
    </row>
    <row r="75" spans="1:5" x14ac:dyDescent="0.25">
      <c r="A75" s="13" t="s">
        <v>1176</v>
      </c>
      <c r="B75" s="20" t="s">
        <v>1177</v>
      </c>
      <c r="C75" s="9">
        <v>0</v>
      </c>
      <c r="D75" s="9">
        <v>0</v>
      </c>
      <c r="E75" s="21">
        <v>0</v>
      </c>
    </row>
    <row r="76" spans="1:5" x14ac:dyDescent="0.25">
      <c r="A76" s="13" t="s">
        <v>1178</v>
      </c>
      <c r="B76" s="20" t="s">
        <v>1127</v>
      </c>
      <c r="C76" s="9">
        <v>0</v>
      </c>
      <c r="D76" s="9">
        <v>0</v>
      </c>
      <c r="E76" s="21">
        <v>0</v>
      </c>
    </row>
    <row r="77" spans="1:5" x14ac:dyDescent="0.25">
      <c r="A77" s="13" t="s">
        <v>1179</v>
      </c>
      <c r="B77" s="20" t="s">
        <v>1180</v>
      </c>
      <c r="C77" s="9">
        <v>0</v>
      </c>
      <c r="D77" s="9">
        <v>0</v>
      </c>
      <c r="E77" s="21">
        <v>0</v>
      </c>
    </row>
    <row r="78" spans="1:5" x14ac:dyDescent="0.25">
      <c r="A78" s="13" t="s">
        <v>1181</v>
      </c>
      <c r="B78" s="20" t="s">
        <v>1182</v>
      </c>
      <c r="C78" s="9">
        <v>0</v>
      </c>
      <c r="D78" s="9">
        <v>0</v>
      </c>
      <c r="E78" s="21">
        <v>0</v>
      </c>
    </row>
    <row r="79" spans="1:5" x14ac:dyDescent="0.25">
      <c r="A79" s="13" t="s">
        <v>1183</v>
      </c>
      <c r="B79" s="20" t="s">
        <v>1184</v>
      </c>
      <c r="C79" s="9">
        <v>0</v>
      </c>
      <c r="D79" s="9">
        <v>0</v>
      </c>
      <c r="E79" s="21">
        <v>0</v>
      </c>
    </row>
    <row r="80" spans="1:5" x14ac:dyDescent="0.25">
      <c r="A80" s="13" t="s">
        <v>1185</v>
      </c>
      <c r="B80" s="20" t="s">
        <v>1186</v>
      </c>
      <c r="C80" s="9">
        <v>0</v>
      </c>
      <c r="D80" s="9">
        <v>0</v>
      </c>
      <c r="E80" s="21">
        <v>0</v>
      </c>
    </row>
    <row r="81" spans="1:6" x14ac:dyDescent="0.25">
      <c r="A81" s="13" t="s">
        <v>1187</v>
      </c>
      <c r="B81" s="20" t="s">
        <v>1188</v>
      </c>
      <c r="C81" s="9">
        <v>0</v>
      </c>
      <c r="D81" s="9">
        <v>0</v>
      </c>
      <c r="E81" s="21">
        <v>0</v>
      </c>
    </row>
    <row r="82" spans="1:6" x14ac:dyDescent="0.25">
      <c r="A82" s="13" t="s">
        <v>1189</v>
      </c>
      <c r="B82" s="20" t="s">
        <v>1190</v>
      </c>
      <c r="C82" s="9">
        <v>0</v>
      </c>
      <c r="D82" s="9">
        <v>0</v>
      </c>
      <c r="E82" s="21">
        <v>0</v>
      </c>
    </row>
    <row r="83" spans="1:6" x14ac:dyDescent="0.25">
      <c r="A83" s="13" t="s">
        <v>1191</v>
      </c>
      <c r="B83" s="20" t="s">
        <v>1161</v>
      </c>
      <c r="C83" s="9">
        <v>0</v>
      </c>
      <c r="D83" s="9">
        <v>0</v>
      </c>
      <c r="E83" s="21">
        <v>0</v>
      </c>
    </row>
    <row r="84" spans="1:6" x14ac:dyDescent="0.25">
      <c r="A84" s="13" t="s">
        <v>1192</v>
      </c>
      <c r="B84" s="20" t="s">
        <v>1193</v>
      </c>
      <c r="C84" s="9">
        <v>3000</v>
      </c>
      <c r="D84" s="9">
        <f>'GA023(재무)'!B185</f>
        <v>0</v>
      </c>
      <c r="E84" s="21">
        <v>0</v>
      </c>
      <c r="F84" s="11">
        <v>1</v>
      </c>
    </row>
    <row r="85" spans="1:6" x14ac:dyDescent="0.25">
      <c r="A85" s="13" t="s">
        <v>1194</v>
      </c>
      <c r="B85" s="20" t="s">
        <v>1195</v>
      </c>
      <c r="C85" s="9">
        <v>0</v>
      </c>
      <c r="D85" s="9">
        <v>0</v>
      </c>
      <c r="E85" s="21">
        <v>0</v>
      </c>
    </row>
    <row r="86" spans="1:6" x14ac:dyDescent="0.25">
      <c r="A86" s="13" t="s">
        <v>1196</v>
      </c>
      <c r="B86" s="20" t="s">
        <v>1197</v>
      </c>
      <c r="C86" s="9">
        <v>0</v>
      </c>
      <c r="D86" s="9">
        <v>0</v>
      </c>
      <c r="E86" s="21">
        <v>0</v>
      </c>
    </row>
    <row r="87" spans="1:6" x14ac:dyDescent="0.25">
      <c r="A87" s="13" t="s">
        <v>1198</v>
      </c>
      <c r="B87" s="20" t="s">
        <v>1199</v>
      </c>
      <c r="C87" s="9">
        <v>0</v>
      </c>
      <c r="D87" s="9">
        <v>0</v>
      </c>
      <c r="E87" s="21">
        <v>0</v>
      </c>
    </row>
    <row r="88" spans="1:6" x14ac:dyDescent="0.25">
      <c r="A88" s="13" t="s">
        <v>1200</v>
      </c>
      <c r="B88" s="20" t="s">
        <v>1201</v>
      </c>
      <c r="C88" s="9">
        <v>522055</v>
      </c>
      <c r="D88" s="9">
        <f>'GA023(재무)'!B217</f>
        <v>0</v>
      </c>
      <c r="E88" s="21">
        <v>0</v>
      </c>
    </row>
    <row r="89" spans="1:6" x14ac:dyDescent="0.25">
      <c r="A89" s="13" t="s">
        <v>1202</v>
      </c>
      <c r="B89" s="20" t="s">
        <v>1203</v>
      </c>
      <c r="C89" s="9">
        <v>0</v>
      </c>
      <c r="D89" s="9">
        <v>0</v>
      </c>
      <c r="E89" s="21">
        <v>0</v>
      </c>
    </row>
  </sheetData>
  <mergeCells count="5">
    <mergeCell ref="A3:E3"/>
    <mergeCell ref="A5:E5"/>
    <mergeCell ref="A7:E7"/>
    <mergeCell ref="A8:E8"/>
    <mergeCell ref="A9:E9"/>
  </mergeCells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</vt:i4>
      </vt:variant>
    </vt:vector>
  </HeadingPairs>
  <TitlesOfParts>
    <vt:vector size="9" baseType="lpstr">
      <vt:lpstr>GA018(증권거래)</vt:lpstr>
      <vt:lpstr>GA025(손익)</vt:lpstr>
      <vt:lpstr>GA023(재무)</vt:lpstr>
      <vt:lpstr>GA027(각주)</vt:lpstr>
      <vt:lpstr>GA032(건전성)</vt:lpstr>
      <vt:lpstr>GA262(범주)</vt:lpstr>
      <vt:lpstr>GA040(유동성비율)</vt:lpstr>
      <vt:lpstr>GA234(자금조달)</vt:lpstr>
      <vt:lpstr>'GA023(재무)'!Print_Area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금융감독원</dc:creator>
  <cp:keywords/>
  <dc:description/>
  <cp:lastModifiedBy>2tax 2tax</cp:lastModifiedBy>
  <cp:revision/>
  <cp:lastPrinted>2020-12-16T00:17:39Z</cp:lastPrinted>
  <dcterms:created xsi:type="dcterms:W3CDTF">2016-04-28T02:39:27Z</dcterms:created>
  <dcterms:modified xsi:type="dcterms:W3CDTF">2026-03-30T10:47:18Z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Z_DOC_UI_LASTSTATE">
    <vt:lpwstr>{}</vt:lpwstr>
  </property>
</Properties>
</file>